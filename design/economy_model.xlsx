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Old School" sheetId="2" state="visible" r:id="rId2"/>
    <sheet xmlns:r="http://schemas.openxmlformats.org/officeDocument/2006/relationships" name="IT Nephew" sheetId="3" state="visible" r:id="rId3"/>
    <sheet xmlns:r="http://schemas.openxmlformats.org/officeDocument/2006/relationships" name="Mechanic" sheetId="4" state="visible" r:id="rId4"/>
    <sheet xmlns:r="http://schemas.openxmlformats.org/officeDocument/2006/relationships"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0.0%"/>
    <numFmt numFmtId="166" formatCode="0.0"/>
    <numFmt numFmtId="167" formatCode="$#,##0.00;($#,##0.00);&quot;-&quot;"/>
    <numFmt numFmtId="168" formatCode="0.00x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i val="1"/>
      <color rgb="00777777"/>
      <sz val="8"/>
    </font>
    <font>
      <name val="Arial"/>
      <color rgb="00008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A3F2A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" fontId="4" fillId="0" borderId="0" pivotButton="0" quotePrefix="0" xfId="0"/>
    <xf numFmtId="168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164" fontId="4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by day — three backgrounds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'Comparison'!$A$25:$A$54</f>
            </numRef>
          </cat>
          <val>
            <numRef>
              <f>'Comparison'!$B$25:$B$54</f>
            </numRef>
          </val>
        </ser>
        <ser>
          <idx val="1"/>
          <order val="1"/>
          <tx>
            <strRef>
              <f>'Comparison'!C24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'Comparison'!$A$25:$A$54</f>
            </numRef>
          </cat>
          <val>
            <numRef>
              <f>'Comparison'!$C$25:$C$54</f>
            </numRef>
          </val>
        </ser>
        <ser>
          <idx val="2"/>
          <order val="2"/>
          <tx>
            <strRef>
              <f>'Comparison'!D24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'Comparison'!$A$25:$A$54</f>
            </numRef>
          </cat>
          <val>
            <numRef>
              <f>'Comparison'!$D$25:$D$54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DIRT MONEY — ECONOMY MODEL v1 (Phase 0)</t>
        </is>
      </c>
    </row>
    <row r="2">
      <c r="A2" s="2" t="inlineStr">
        <is>
          <t>All blue cells are tunable inputs. Background sheets reference them. Source: docs/DIRT_MONEY_ECONOMY_SPEC.md, 2026-07-03.</t>
        </is>
      </c>
    </row>
    <row r="4">
      <c r="A4" s="3" t="inlineStr">
        <is>
          <t>GLOBAL</t>
        </is>
      </c>
    </row>
    <row r="5">
      <c r="A5" s="4" t="inlineStr">
        <is>
          <t>Starting cash ($)</t>
        </is>
      </c>
      <c r="B5" s="5" t="n">
        <v>1200</v>
      </c>
    </row>
    <row r="6">
      <c r="A6" s="4" t="inlineStr">
        <is>
          <t>Starting debt ($)</t>
        </is>
      </c>
      <c r="B6" s="5" t="n">
        <v>8000</v>
      </c>
    </row>
    <row r="7">
      <c r="A7" s="4" t="inlineStr">
        <is>
          <t>Debt daily interest</t>
        </is>
      </c>
      <c r="B7" s="6" t="n">
        <v>0.004</v>
      </c>
    </row>
    <row r="8">
      <c r="A8" s="4" t="inlineStr">
        <is>
          <t>Travel fuel per trip ($)</t>
        </is>
      </c>
      <c r="B8" s="5" t="n">
        <v>8</v>
      </c>
    </row>
    <row r="9">
      <c r="A9" s="4" t="inlineStr">
        <is>
          <t>Chickens (head)</t>
        </is>
      </c>
      <c r="B9" s="7" t="n">
        <v>12</v>
      </c>
    </row>
    <row r="10">
      <c r="A10" s="4" t="inlineStr">
        <is>
          <t>Eggs per chicken per day</t>
        </is>
      </c>
      <c r="B10" s="8" t="n">
        <v>0.8</v>
      </c>
    </row>
    <row r="11">
      <c r="A11" s="4" t="inlineStr">
        <is>
          <t>Egg price ($/egg)</t>
        </is>
      </c>
      <c r="B11" s="9" t="n">
        <v>0.4</v>
      </c>
    </row>
    <row r="12">
      <c r="A12" s="4" t="inlineStr">
        <is>
          <t>Feed per chicken per day ($)</t>
        </is>
      </c>
      <c r="B12" s="9" t="n">
        <v>0.08</v>
      </c>
    </row>
    <row r="13">
      <c r="A13" s="3" t="inlineStr">
        <is>
          <t>CROPS (per field cycle)</t>
        </is>
      </c>
    </row>
    <row r="14">
      <c r="A14" s="3" t="inlineStr">
        <is>
          <t>Crop</t>
        </is>
      </c>
      <c r="B14" s="3" t="inlineStr">
        <is>
          <t>Plant cost $</t>
        </is>
      </c>
      <c r="C14" s="3" t="inlineStr">
        <is>
          <t>Plant days</t>
        </is>
      </c>
      <c r="D14" s="3" t="inlineStr">
        <is>
          <t>Grow days</t>
        </is>
      </c>
      <c r="E14" s="3" t="inlineStr">
        <is>
          <t>Harvest cost $</t>
        </is>
      </c>
      <c r="F14" s="3" t="inlineStr">
        <is>
          <t>Harvest days</t>
        </is>
      </c>
      <c r="G14" s="3" t="inlineStr">
        <is>
          <t>Yield (units)</t>
        </is>
      </c>
      <c r="H14" s="3" t="inlineStr">
        <is>
          <t>Price $/unit</t>
        </is>
      </c>
    </row>
    <row r="15">
      <c r="A15" s="10" t="inlineStr">
        <is>
          <t>Corn</t>
        </is>
      </c>
      <c r="B15" s="5" t="n">
        <v>340</v>
      </c>
      <c r="C15" s="7" t="n">
        <v>2</v>
      </c>
      <c r="D15" s="7" t="n">
        <v>10</v>
      </c>
      <c r="E15" s="5" t="n">
        <v>180</v>
      </c>
      <c r="F15" s="7" t="n">
        <v>2</v>
      </c>
      <c r="G15" s="7" t="n">
        <v>300</v>
      </c>
      <c r="H15" s="9" t="n">
        <v>4.2</v>
      </c>
    </row>
    <row r="16">
      <c r="A16" s="10" t="inlineStr">
        <is>
          <t>Soybeans</t>
        </is>
      </c>
      <c r="B16" s="5" t="n">
        <v>220</v>
      </c>
      <c r="C16" s="7" t="n">
        <v>2</v>
      </c>
      <c r="D16" s="7" t="n">
        <v>9</v>
      </c>
      <c r="E16" s="5" t="n">
        <v>140</v>
      </c>
      <c r="F16" s="7" t="n">
        <v>1</v>
      </c>
      <c r="G16" s="7" t="n">
        <v>200</v>
      </c>
      <c r="H16" s="9" t="n">
        <v>10.5</v>
      </c>
    </row>
    <row r="17">
      <c r="A17" s="10" t="inlineStr">
        <is>
          <t>Hay (per cut)</t>
        </is>
      </c>
      <c r="B17" s="5" t="n">
        <v>90</v>
      </c>
      <c r="C17" s="7" t="n">
        <v>1</v>
      </c>
      <c r="D17" s="7" t="n">
        <v>6</v>
      </c>
      <c r="E17" s="5" t="n">
        <v>80</v>
      </c>
      <c r="F17" s="7" t="n">
        <v>1</v>
      </c>
      <c r="G17" s="7" t="n">
        <v>100</v>
      </c>
      <c r="H17" s="9" t="n">
        <v>5</v>
      </c>
    </row>
    <row r="19">
      <c r="A19" s="3" t="inlineStr">
        <is>
          <t>BACKGROUND MODIFIERS</t>
        </is>
      </c>
    </row>
    <row r="20">
      <c r="A20" s="4" t="inlineStr">
        <is>
          <t>Old School: legacy premium (× spot)</t>
        </is>
      </c>
      <c r="B20" s="11" t="n">
        <v>1.35</v>
      </c>
    </row>
    <row r="21">
      <c r="A21" s="4" t="inlineStr">
        <is>
          <t>Old School: legacy contract units</t>
        </is>
      </c>
      <c r="B21" s="7" t="n">
        <v>450</v>
      </c>
    </row>
    <row r="22">
      <c r="A22" s="4" t="inlineStr">
        <is>
          <t>Old School: Hollis hauling favor ($)</t>
        </is>
      </c>
      <c r="B22" s="5" t="n">
        <v>120</v>
      </c>
    </row>
    <row r="23">
      <c r="A23" s="4" t="inlineStr">
        <is>
          <t>IT Nephew: labor cost multiplier</t>
        </is>
      </c>
      <c r="B23" s="11" t="n">
        <v>1.5</v>
      </c>
    </row>
    <row r="24">
      <c r="A24" s="4" t="inlineStr">
        <is>
          <t>IT Nephew: market-timing edge (× spot)</t>
        </is>
      </c>
      <c r="B24" s="11" t="n">
        <v>1.15</v>
      </c>
    </row>
    <row r="25">
      <c r="A25" s="4" t="inlineStr">
        <is>
          <t>IT Nephew: egg contract premium (× price)</t>
        </is>
      </c>
      <c r="B25" s="11" t="n">
        <v>1.2</v>
      </c>
    </row>
    <row r="26">
      <c r="A26" s="4" t="inlineStr">
        <is>
          <t>Mechanic: repair job pay ($)</t>
        </is>
      </c>
      <c r="B26" s="5" t="n">
        <v>250</v>
      </c>
    </row>
    <row r="27">
      <c r="A27" s="4" t="inlineStr">
        <is>
          <t>Mechanic: repair job parts cost ($)</t>
        </is>
      </c>
      <c r="B27" s="5" t="n">
        <v>60</v>
      </c>
    </row>
    <row r="28">
      <c r="A28" s="4" t="inlineStr">
        <is>
          <t>Mechanic: neighbor repair pay ($)</t>
        </is>
      </c>
      <c r="B28" s="5" t="n">
        <v>150</v>
      </c>
    </row>
    <row r="29">
      <c r="A29" s="4" t="inlineStr">
        <is>
          <t>Mechanic: flip - salvage buy ($)</t>
        </is>
      </c>
      <c r="B29" s="5" t="n">
        <v>400</v>
      </c>
    </row>
    <row r="30">
      <c r="A30" s="4" t="inlineStr">
        <is>
          <t>Mechanic: flip - restoration parts ($)</t>
        </is>
      </c>
      <c r="B30" s="5" t="n">
        <v>250</v>
      </c>
    </row>
    <row r="31">
      <c r="A31" s="4" t="inlineStr">
        <is>
          <t>Mechanic: flip - sale price ($)</t>
        </is>
      </c>
      <c r="B31" s="5" t="n">
        <v>1400</v>
      </c>
    </row>
    <row r="33">
      <c r="A33" s="12" t="inlineStr">
        <is>
          <t>Demo win condition: END CASH &gt; 0 and net worth improved. Full loan payoff is multi-season (Phase 3) scope.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4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OLD SCHOOL — 30-DAY CASH FLOW</t>
        </is>
      </c>
    </row>
    <row r="2">
      <c r="A2" s="2" t="inlineStr">
        <is>
          <t>Corn on both big fields + hay; the storm-help unlock converts most of the corn to the legacy contract at a premium rate. Wins on relationships, not information.</t>
        </is>
      </c>
    </row>
    <row r="3">
      <c r="A3" s="13" t="inlineStr">
        <is>
          <t>Income category gates: Negotiated = reputation-locked · Timed = info-locked · Repair &amp; flip = wrench-locked</t>
        </is>
      </c>
    </row>
    <row r="5">
      <c r="A5" s="3" t="inlineStr">
        <is>
          <t>Day</t>
        </is>
      </c>
      <c r="B5" s="3" t="inlineStr">
        <is>
          <t>Weekday</t>
        </is>
      </c>
      <c r="C5" s="3" t="inlineStr">
        <is>
          <t>Event</t>
        </is>
      </c>
      <c r="D5" s="3" t="inlineStr">
        <is>
          <t>Spot sales</t>
        </is>
      </c>
      <c r="E5" s="3" t="inlineStr">
        <is>
          <t>Negotiated (rep)</t>
        </is>
      </c>
      <c r="F5" s="3" t="inlineStr">
        <is>
          <t>Timed (info)</t>
        </is>
      </c>
      <c r="G5" s="3" t="inlineStr">
        <is>
          <t>Repair &amp; flip</t>
        </is>
      </c>
      <c r="H5" s="3" t="inlineStr">
        <is>
          <t>Eggs &amp; favors</t>
        </is>
      </c>
      <c r="I5" s="3" t="inlineStr">
        <is>
          <t>Costs</t>
        </is>
      </c>
      <c r="J5" s="3" t="inlineStr">
        <is>
          <t>Net</t>
        </is>
      </c>
      <c r="K5" s="3" t="inlineStr">
        <is>
          <t>Cash</t>
        </is>
      </c>
      <c r="L5" s="3" t="inlineStr">
        <is>
          <t>Debt</t>
        </is>
      </c>
      <c r="M5" s="3" t="inlineStr">
        <is>
          <t>Net worth</t>
        </is>
      </c>
    </row>
    <row r="6">
      <c r="A6" s="10" t="n">
        <v>1</v>
      </c>
      <c r="B6" s="4">
        <f>CHOOSE(MOD(A6-1,7)+1,"Mon","Tue","Wed","Thu","Fri","Sat","Sun")</f>
        <v/>
      </c>
      <c r="C6" s="4" t="n"/>
      <c r="D6" s="14" t="n">
        <v>0</v>
      </c>
      <c r="E6" s="14" t="n">
        <v>0</v>
      </c>
      <c r="F6" s="14" t="n">
        <v>0</v>
      </c>
      <c r="G6" s="14" t="n">
        <v>0</v>
      </c>
      <c r="H6" s="15">
        <f>(Assumptions!$B$9*Assumptions!$B$10*Assumptions!$B$11)-(Assumptions!$B$9*Assumptions!$B$12)</f>
        <v/>
      </c>
      <c r="I6" s="14" t="n">
        <v>0</v>
      </c>
      <c r="J6" s="14">
        <f>SUM(D6:H6)-I6</f>
        <v/>
      </c>
      <c r="K6" s="14">
        <f>Assumptions!$B$5+J6</f>
        <v/>
      </c>
      <c r="L6" s="14">
        <f>Assumptions!$B$6*(1+Assumptions!$B$7)</f>
        <v/>
      </c>
      <c r="M6" s="14">
        <f>K6-L6</f>
        <v/>
      </c>
    </row>
    <row r="7">
      <c r="A7" s="10" t="n">
        <v>2</v>
      </c>
      <c r="B7" s="4">
        <f>CHOOSE(MOD(A7-1,7)+1,"Mon","Tue","Wed","Thu","Fri","Sat","Sun")</f>
        <v/>
      </c>
      <c r="C7" s="4" t="inlineStr">
        <is>
          <t>Plant corn — North field</t>
        </is>
      </c>
      <c r="D7" s="14" t="n">
        <v>0</v>
      </c>
      <c r="E7" s="14" t="n">
        <v>0</v>
      </c>
      <c r="F7" s="14" t="n">
        <v>0</v>
      </c>
      <c r="G7" s="14" t="n">
        <v>0</v>
      </c>
      <c r="H7" s="15">
        <f>(Assumptions!$B$9*Assumptions!$B$10*Assumptions!$B$11)-(Assumptions!$B$9*Assumptions!$B$12)</f>
        <v/>
      </c>
      <c r="I7" s="15">
        <f>Assumptions!$B$15+Assumptions!$B$8</f>
        <v/>
      </c>
      <c r="J7" s="14">
        <f>SUM(D7:H7)-I7</f>
        <v/>
      </c>
      <c r="K7" s="14">
        <f>K6+J7</f>
        <v/>
      </c>
      <c r="L7" s="14">
        <f>L6*(1+Assumptions!$B$7)</f>
        <v/>
      </c>
      <c r="M7" s="14">
        <f>K7-L7</f>
        <v/>
      </c>
    </row>
    <row r="8">
      <c r="A8" s="10" t="n">
        <v>3</v>
      </c>
      <c r="B8" s="4">
        <f>CHOOSE(MOD(A8-1,7)+1,"Mon","Tue","Wed","Thu","Fri","Sat","Sun")</f>
        <v/>
      </c>
      <c r="C8" s="4" t="inlineStr">
        <is>
          <t>Plant corn — South field</t>
        </is>
      </c>
      <c r="D8" s="14" t="n">
        <v>0</v>
      </c>
      <c r="E8" s="14" t="n">
        <v>0</v>
      </c>
      <c r="F8" s="14" t="n">
        <v>0</v>
      </c>
      <c r="G8" s="14" t="n">
        <v>0</v>
      </c>
      <c r="H8" s="15">
        <f>(Assumptions!$B$9*Assumptions!$B$10*Assumptions!$B$11)-(Assumptions!$B$9*Assumptions!$B$12)</f>
        <v/>
      </c>
      <c r="I8" s="15">
        <f>Assumptions!$B$15+Assumptions!$B$8</f>
        <v/>
      </c>
      <c r="J8" s="14">
        <f>SUM(D8:H8)-I8</f>
        <v/>
      </c>
      <c r="K8" s="14">
        <f>K7+J8</f>
        <v/>
      </c>
      <c r="L8" s="14">
        <f>L7*(1+Assumptions!$B$7)</f>
        <v/>
      </c>
      <c r="M8" s="14">
        <f>K8-L8</f>
        <v/>
      </c>
    </row>
    <row r="9">
      <c r="A9" s="10" t="n">
        <v>4</v>
      </c>
      <c r="B9" s="4">
        <f>CHOOSE(MOD(A9-1,7)+1,"Mon","Tue","Wed","Thu","Fri","Sat","Sun")</f>
        <v/>
      </c>
      <c r="C9" s="4" t="inlineStr">
        <is>
          <t>Plant hay — East field</t>
        </is>
      </c>
      <c r="D9" s="14" t="n">
        <v>0</v>
      </c>
      <c r="E9" s="14" t="n">
        <v>0</v>
      </c>
      <c r="F9" s="14" t="n">
        <v>0</v>
      </c>
      <c r="G9" s="14" t="n">
        <v>0</v>
      </c>
      <c r="H9" s="15">
        <f>(Assumptions!$B$9*Assumptions!$B$10*Assumptions!$B$11)-(Assumptions!$B$9*Assumptions!$B$12)</f>
        <v/>
      </c>
      <c r="I9" s="15">
        <f>Assumptions!$B$17+Assumptions!$B$8</f>
        <v/>
      </c>
      <c r="J9" s="14">
        <f>SUM(D9:H9)-I9</f>
        <v/>
      </c>
      <c r="K9" s="14">
        <f>K8+J9</f>
        <v/>
      </c>
      <c r="L9" s="14">
        <f>L8*(1+Assumptions!$B$7)</f>
        <v/>
      </c>
      <c r="M9" s="14">
        <f>K9-L9</f>
        <v/>
      </c>
    </row>
    <row r="10">
      <c r="A10" s="10" t="n">
        <v>5</v>
      </c>
      <c r="B10" s="4">
        <f>CHOOSE(MOD(A10-1,7)+1,"Mon","Tue","Wed","Thu","Fri","Sat","Sun")</f>
        <v/>
      </c>
      <c r="C10" s="4" t="inlineStr">
        <is>
          <t>Haul Hollis's hay (favor)</t>
        </is>
      </c>
      <c r="D10" s="14" t="n">
        <v>0</v>
      </c>
      <c r="E10" s="14" t="n">
        <v>0</v>
      </c>
      <c r="F10" s="14" t="n">
        <v>0</v>
      </c>
      <c r="G10" s="14" t="n">
        <v>0</v>
      </c>
      <c r="H10" s="15">
        <f>(Assumptions!$B$9*Assumptions!$B$10*Assumptions!$B$11)-(Assumptions!$B$9*Assumptions!$B$12)+Assumptions!$B$22</f>
        <v/>
      </c>
      <c r="I10" s="15">
        <f>Assumptions!$B$8</f>
        <v/>
      </c>
      <c r="J10" s="14">
        <f>SUM(D10:H10)-I10</f>
        <v/>
      </c>
      <c r="K10" s="14">
        <f>K9+J10</f>
        <v/>
      </c>
      <c r="L10" s="14">
        <f>L9*(1+Assumptions!$B$7)</f>
        <v/>
      </c>
      <c r="M10" s="14">
        <f>K10-L10</f>
        <v/>
      </c>
    </row>
    <row r="11">
      <c r="A11" s="10" t="n">
        <v>6</v>
      </c>
      <c r="B11" s="4">
        <f>CHOOSE(MOD(A11-1,7)+1,"Mon","Tue","Wed","Thu","Fri","Sat","Sun")</f>
        <v/>
      </c>
      <c r="C11" s="4" t="n"/>
      <c r="D11" s="14" t="n">
        <v>0</v>
      </c>
      <c r="E11" s="14" t="n">
        <v>0</v>
      </c>
      <c r="F11" s="14" t="n">
        <v>0</v>
      </c>
      <c r="G11" s="14" t="n">
        <v>0</v>
      </c>
      <c r="H11" s="15">
        <f>(Assumptions!$B$9*Assumptions!$B$10*Assumptions!$B$11)-(Assumptions!$B$9*Assumptions!$B$12)</f>
        <v/>
      </c>
      <c r="I11" s="14" t="n">
        <v>0</v>
      </c>
      <c r="J11" s="14">
        <f>SUM(D11:H11)-I11</f>
        <v/>
      </c>
      <c r="K11" s="14">
        <f>K10+J11</f>
        <v/>
      </c>
      <c r="L11" s="14">
        <f>L10*(1+Assumptions!$B$7)</f>
        <v/>
      </c>
      <c r="M11" s="14">
        <f>K11-L11</f>
        <v/>
      </c>
    </row>
    <row r="12">
      <c r="A12" s="10" t="n">
        <v>7</v>
      </c>
      <c r="B12" s="4">
        <f>CHOOSE(MOD(A12-1,7)+1,"Mon","Tue","Wed","Thu","Fri","Sat","Sun")</f>
        <v/>
      </c>
      <c r="C12" s="4" t="n"/>
      <c r="D12" s="14" t="n">
        <v>0</v>
      </c>
      <c r="E12" s="14" t="n">
        <v>0</v>
      </c>
      <c r="F12" s="14" t="n">
        <v>0</v>
      </c>
      <c r="G12" s="14" t="n">
        <v>0</v>
      </c>
      <c r="H12" s="15">
        <f>(Assumptions!$B$9*Assumptions!$B$10*Assumptions!$B$11)-(Assumptions!$B$9*Assumptions!$B$12)</f>
        <v/>
      </c>
      <c r="I12" s="14" t="n">
        <v>0</v>
      </c>
      <c r="J12" s="14">
        <f>SUM(D12:H12)-I12</f>
        <v/>
      </c>
      <c r="K12" s="14">
        <f>K11+J12</f>
        <v/>
      </c>
      <c r="L12" s="14">
        <f>L11*(1+Assumptions!$B$7)</f>
        <v/>
      </c>
      <c r="M12" s="14">
        <f>K12-L12</f>
        <v/>
      </c>
    </row>
    <row r="13">
      <c r="A13" s="10" t="n">
        <v>8</v>
      </c>
      <c r="B13" s="4">
        <f>CHOOSE(MOD(A13-1,7)+1,"Mon","Tue","Wed","Thu","Fri","Sat","Sun")</f>
        <v/>
      </c>
      <c r="C13" s="4" t="inlineStr">
        <is>
          <t>STORM — help Hollis sandbag (loses the day; unlocks legacy contract)</t>
        </is>
      </c>
      <c r="D13" s="14" t="n">
        <v>0</v>
      </c>
      <c r="E13" s="14" t="n">
        <v>0</v>
      </c>
      <c r="F13" s="14" t="n">
        <v>0</v>
      </c>
      <c r="G13" s="14" t="n">
        <v>0</v>
      </c>
      <c r="H13" s="15">
        <f>(Assumptions!$B$9*Assumptions!$B$10*Assumptions!$B$11)-(Assumptions!$B$9*Assumptions!$B$12)</f>
        <v/>
      </c>
      <c r="I13" s="14" t="n">
        <v>0</v>
      </c>
      <c r="J13" s="14">
        <f>SUM(D13:H13)-I13</f>
        <v/>
      </c>
      <c r="K13" s="14">
        <f>K12+J13</f>
        <v/>
      </c>
      <c r="L13" s="14">
        <f>L12*(1+Assumptions!$B$7)</f>
        <v/>
      </c>
      <c r="M13" s="14">
        <f>K13-L13</f>
        <v/>
      </c>
    </row>
    <row r="14">
      <c r="A14" s="10" t="n">
        <v>9</v>
      </c>
      <c r="B14" s="4">
        <f>CHOOSE(MOD(A14-1,7)+1,"Mon","Tue","Wed","Thu","Fri","Sat","Sun")</f>
        <v/>
      </c>
      <c r="C14" s="4" t="n"/>
      <c r="D14" s="14" t="n">
        <v>0</v>
      </c>
      <c r="E14" s="14" t="n">
        <v>0</v>
      </c>
      <c r="F14" s="14" t="n">
        <v>0</v>
      </c>
      <c r="G14" s="14" t="n">
        <v>0</v>
      </c>
      <c r="H14" s="15">
        <f>(Assumptions!$B$9*Assumptions!$B$10*Assumptions!$B$11)-(Assumptions!$B$9*Assumptions!$B$12)</f>
        <v/>
      </c>
      <c r="I14" s="14" t="n">
        <v>0</v>
      </c>
      <c r="J14" s="14">
        <f>SUM(D14:H14)-I14</f>
        <v/>
      </c>
      <c r="K14" s="14">
        <f>K13+J14</f>
        <v/>
      </c>
      <c r="L14" s="14">
        <f>L13*(1+Assumptions!$B$7)</f>
        <v/>
      </c>
      <c r="M14" s="14">
        <f>K14-L14</f>
        <v/>
      </c>
    </row>
    <row r="15">
      <c r="A15" s="10" t="n">
        <v>10</v>
      </c>
      <c r="B15" s="4">
        <f>CHOOSE(MOD(A15-1,7)+1,"Mon","Tue","Wed","Thu","Fri","Sat","Sun")</f>
        <v/>
      </c>
      <c r="C15" s="4" t="inlineStr">
        <is>
          <t>Hay cut 1 — East</t>
        </is>
      </c>
      <c r="D15" s="15">
        <f>Assumptions!$G$17*Assumptions!$H$17</f>
        <v/>
      </c>
      <c r="E15" s="14" t="n">
        <v>0</v>
      </c>
      <c r="F15" s="14" t="n">
        <v>0</v>
      </c>
      <c r="G15" s="14" t="n">
        <v>0</v>
      </c>
      <c r="H15" s="15">
        <f>(Assumptions!$B$9*Assumptions!$B$10*Assumptions!$B$11)-(Assumptions!$B$9*Assumptions!$B$12)</f>
        <v/>
      </c>
      <c r="I15" s="15">
        <f>Assumptions!$E$17</f>
        <v/>
      </c>
      <c r="J15" s="14">
        <f>SUM(D15:H15)-I15</f>
        <v/>
      </c>
      <c r="K15" s="14">
        <f>K14+J15</f>
        <v/>
      </c>
      <c r="L15" s="14">
        <f>L14*(1+Assumptions!$B$7)</f>
        <v/>
      </c>
      <c r="M15" s="14">
        <f>K15-L15</f>
        <v/>
      </c>
    </row>
    <row r="16">
      <c r="A16" s="10" t="n">
        <v>11</v>
      </c>
      <c r="B16" s="4">
        <f>CHOOSE(MOD(A16-1,7)+1,"Mon","Tue","Wed","Thu","Fri","Sat","Sun")</f>
        <v/>
      </c>
      <c r="C16" s="4" t="n"/>
      <c r="D16" s="14" t="n">
        <v>0</v>
      </c>
      <c r="E16" s="14" t="n">
        <v>0</v>
      </c>
      <c r="F16" s="14" t="n">
        <v>0</v>
      </c>
      <c r="G16" s="14" t="n">
        <v>0</v>
      </c>
      <c r="H16" s="15">
        <f>(Assumptions!$B$9*Assumptions!$B$10*Assumptions!$B$11)-(Assumptions!$B$9*Assumptions!$B$12)</f>
        <v/>
      </c>
      <c r="I16" s="14" t="n">
        <v>0</v>
      </c>
      <c r="J16" s="14">
        <f>SUM(D16:H16)-I16</f>
        <v/>
      </c>
      <c r="K16" s="14">
        <f>K15+J16</f>
        <v/>
      </c>
      <c r="L16" s="14">
        <f>L15*(1+Assumptions!$B$7)</f>
        <v/>
      </c>
      <c r="M16" s="14">
        <f>K16-L16</f>
        <v/>
      </c>
    </row>
    <row r="17">
      <c r="A17" s="10" t="n">
        <v>12</v>
      </c>
      <c r="B17" s="4">
        <f>CHOOSE(MOD(A17-1,7)+1,"Mon","Tue","Wed","Thu","Fri","Sat","Sun")</f>
        <v/>
      </c>
      <c r="C17" s="4" t="n"/>
      <c r="D17" s="14" t="n">
        <v>0</v>
      </c>
      <c r="E17" s="14" t="n">
        <v>0</v>
      </c>
      <c r="F17" s="14" t="n">
        <v>0</v>
      </c>
      <c r="G17" s="14" t="n">
        <v>0</v>
      </c>
      <c r="H17" s="15">
        <f>(Assumptions!$B$9*Assumptions!$B$10*Assumptions!$B$11)-(Assumptions!$B$9*Assumptions!$B$12)</f>
        <v/>
      </c>
      <c r="I17" s="14" t="n">
        <v>0</v>
      </c>
      <c r="J17" s="14">
        <f>SUM(D17:H17)-I17</f>
        <v/>
      </c>
      <c r="K17" s="14">
        <f>K16+J17</f>
        <v/>
      </c>
      <c r="L17" s="14">
        <f>L16*(1+Assumptions!$B$7)</f>
        <v/>
      </c>
      <c r="M17" s="14">
        <f>K17-L17</f>
        <v/>
      </c>
    </row>
    <row r="18">
      <c r="A18" s="10" t="n">
        <v>13</v>
      </c>
      <c r="B18" s="4">
        <f>CHOOSE(MOD(A18-1,7)+1,"Mon","Tue","Wed","Thu","Fri","Sat","Sun")</f>
        <v/>
      </c>
      <c r="C18" s="4" t="n"/>
      <c r="D18" s="14" t="n">
        <v>0</v>
      </c>
      <c r="E18" s="14" t="n">
        <v>0</v>
      </c>
      <c r="F18" s="14" t="n">
        <v>0</v>
      </c>
      <c r="G18" s="14" t="n">
        <v>0</v>
      </c>
      <c r="H18" s="15">
        <f>(Assumptions!$B$9*Assumptions!$B$10*Assumptions!$B$11)-(Assumptions!$B$9*Assumptions!$B$12)</f>
        <v/>
      </c>
      <c r="I18" s="14" t="n">
        <v>0</v>
      </c>
      <c r="J18" s="14">
        <f>SUM(D18:H18)-I18</f>
        <v/>
      </c>
      <c r="K18" s="14">
        <f>K17+J18</f>
        <v/>
      </c>
      <c r="L18" s="14">
        <f>L17*(1+Assumptions!$B$7)</f>
        <v/>
      </c>
      <c r="M18" s="14">
        <f>K18-L18</f>
        <v/>
      </c>
    </row>
    <row r="19">
      <c r="A19" s="10" t="n">
        <v>14</v>
      </c>
      <c r="B19" s="4">
        <f>CHOOSE(MOD(A19-1,7)+1,"Mon","Tue","Wed","Thu","Fri","Sat","Sun")</f>
        <v/>
      </c>
      <c r="C19" s="4" t="inlineStr">
        <is>
          <t>Harvest corn — North</t>
        </is>
      </c>
      <c r="D19" s="14" t="n">
        <v>0</v>
      </c>
      <c r="E19" s="14" t="n">
        <v>0</v>
      </c>
      <c r="F19" s="14" t="n">
        <v>0</v>
      </c>
      <c r="G19" s="14" t="n">
        <v>0</v>
      </c>
      <c r="H19" s="15">
        <f>(Assumptions!$B$9*Assumptions!$B$10*Assumptions!$B$11)-(Assumptions!$B$9*Assumptions!$B$12)</f>
        <v/>
      </c>
      <c r="I19" s="15">
        <f>Assumptions!$E$15</f>
        <v/>
      </c>
      <c r="J19" s="14">
        <f>SUM(D19:H19)-I19</f>
        <v/>
      </c>
      <c r="K19" s="14">
        <f>K18+J19</f>
        <v/>
      </c>
      <c r="L19" s="14">
        <f>L18*(1+Assumptions!$B$7)</f>
        <v/>
      </c>
      <c r="M19" s="14">
        <f>K19-L19</f>
        <v/>
      </c>
    </row>
    <row r="20">
      <c r="A20" s="10" t="n">
        <v>15</v>
      </c>
      <c r="B20" s="4">
        <f>CHOOSE(MOD(A20-1,7)+1,"Mon","Tue","Wed","Thu","Fri","Sat","Sun")</f>
        <v/>
      </c>
      <c r="C20" s="4" t="inlineStr">
        <is>
          <t>Harvest corn — South</t>
        </is>
      </c>
      <c r="D20" s="14" t="n">
        <v>0</v>
      </c>
      <c r="E20" s="14" t="n">
        <v>0</v>
      </c>
      <c r="F20" s="14" t="n">
        <v>0</v>
      </c>
      <c r="G20" s="14" t="n">
        <v>0</v>
      </c>
      <c r="H20" s="15">
        <f>(Assumptions!$B$9*Assumptions!$B$10*Assumptions!$B$11)-(Assumptions!$B$9*Assumptions!$B$12)</f>
        <v/>
      </c>
      <c r="I20" s="15">
        <f>Assumptions!$E$15</f>
        <v/>
      </c>
      <c r="J20" s="14">
        <f>SUM(D20:H20)-I20</f>
        <v/>
      </c>
      <c r="K20" s="14">
        <f>K19+J20</f>
        <v/>
      </c>
      <c r="L20" s="14">
        <f>L19*(1+Assumptions!$B$7)</f>
        <v/>
      </c>
      <c r="M20" s="14">
        <f>K20-L20</f>
        <v/>
      </c>
    </row>
    <row r="21">
      <c r="A21" s="10" t="n">
        <v>16</v>
      </c>
      <c r="B21" s="4">
        <f>CHOOSE(MOD(A21-1,7)+1,"Mon","Tue","Wed","Thu","Fri","Sat","Sun")</f>
        <v/>
      </c>
      <c r="C21" s="4" t="inlineStr">
        <is>
          <t>Deliver legacy contract corn (the Vann family rate)</t>
        </is>
      </c>
      <c r="D21" s="14" t="n">
        <v>0</v>
      </c>
      <c r="E21" s="15">
        <f>Assumptions!$B$21*Assumptions!$H$15*Assumptions!$B$20</f>
        <v/>
      </c>
      <c r="F21" s="14" t="n">
        <v>0</v>
      </c>
      <c r="G21" s="14" t="n">
        <v>0</v>
      </c>
      <c r="H21" s="15">
        <f>(Assumptions!$B$9*Assumptions!$B$10*Assumptions!$B$11)-(Assumptions!$B$9*Assumptions!$B$12)</f>
        <v/>
      </c>
      <c r="I21" s="15">
        <f>Assumptions!$B$8</f>
        <v/>
      </c>
      <c r="J21" s="14">
        <f>SUM(D21:H21)-I21</f>
        <v/>
      </c>
      <c r="K21" s="14">
        <f>K20+J21</f>
        <v/>
      </c>
      <c r="L21" s="14">
        <f>L20*(1+Assumptions!$B$7)</f>
        <v/>
      </c>
      <c r="M21" s="14">
        <f>K21-L21</f>
        <v/>
      </c>
    </row>
    <row r="22">
      <c r="A22" s="10" t="n">
        <v>17</v>
      </c>
      <c r="B22" s="4">
        <f>CHOOSE(MOD(A22-1,7)+1,"Mon","Tue","Wed","Thu","Fri","Sat","Sun")</f>
        <v/>
      </c>
      <c r="C22" s="4" t="inlineStr">
        <is>
          <t>Sell remaining corn at spot; Hay cut 2 — East</t>
        </is>
      </c>
      <c r="D22" s="15">
        <f>(2*Assumptions!$G$15-Assumptions!$B$21)*Assumptions!$H$15+Assumptions!$G$17*Assumptions!$H$17</f>
        <v/>
      </c>
      <c r="E22" s="14" t="n">
        <v>0</v>
      </c>
      <c r="F22" s="14" t="n">
        <v>0</v>
      </c>
      <c r="G22" s="14" t="n">
        <v>0</v>
      </c>
      <c r="H22" s="15">
        <f>(Assumptions!$B$9*Assumptions!$B$10*Assumptions!$B$11)-(Assumptions!$B$9*Assumptions!$B$12)</f>
        <v/>
      </c>
      <c r="I22" s="15">
        <f>Assumptions!$B$8+Assumptions!$E$17</f>
        <v/>
      </c>
      <c r="J22" s="14">
        <f>SUM(D22:H22)-I22</f>
        <v/>
      </c>
      <c r="K22" s="14">
        <f>K21+J22</f>
        <v/>
      </c>
      <c r="L22" s="14">
        <f>L21*(1+Assumptions!$B$7)</f>
        <v/>
      </c>
      <c r="M22" s="14">
        <f>K22-L22</f>
        <v/>
      </c>
    </row>
    <row r="23">
      <c r="A23" s="10" t="n">
        <v>18</v>
      </c>
      <c r="B23" s="4">
        <f>CHOOSE(MOD(A23-1,7)+1,"Mon","Tue","Wed","Thu","Fri","Sat","Sun")</f>
        <v/>
      </c>
      <c r="C23" s="4" t="n"/>
      <c r="D23" s="14" t="n">
        <v>0</v>
      </c>
      <c r="E23" s="14" t="n">
        <v>0</v>
      </c>
      <c r="F23" s="14" t="n">
        <v>0</v>
      </c>
      <c r="G23" s="14" t="n">
        <v>0</v>
      </c>
      <c r="H23" s="15">
        <f>(Assumptions!$B$9*Assumptions!$B$10*Assumptions!$B$11)-(Assumptions!$B$9*Assumptions!$B$12)</f>
        <v/>
      </c>
      <c r="I23" s="14" t="n">
        <v>0</v>
      </c>
      <c r="J23" s="14">
        <f>SUM(D23:H23)-I23</f>
        <v/>
      </c>
      <c r="K23" s="14">
        <f>K22+J23</f>
        <v/>
      </c>
      <c r="L23" s="14">
        <f>L22*(1+Assumptions!$B$7)</f>
        <v/>
      </c>
      <c r="M23" s="14">
        <f>K23-L23</f>
        <v/>
      </c>
    </row>
    <row r="24">
      <c r="A24" s="10" t="n">
        <v>19</v>
      </c>
      <c r="B24" s="4">
        <f>CHOOSE(MOD(A24-1,7)+1,"Mon","Tue","Wed","Thu","Fri","Sat","Sun")</f>
        <v/>
      </c>
      <c r="C24" s="4" t="n"/>
      <c r="D24" s="14" t="n">
        <v>0</v>
      </c>
      <c r="E24" s="14" t="n">
        <v>0</v>
      </c>
      <c r="F24" s="14" t="n">
        <v>0</v>
      </c>
      <c r="G24" s="14" t="n">
        <v>0</v>
      </c>
      <c r="H24" s="15">
        <f>(Assumptions!$B$9*Assumptions!$B$10*Assumptions!$B$11)-(Assumptions!$B$9*Assumptions!$B$12)</f>
        <v/>
      </c>
      <c r="I24" s="14" t="n">
        <v>0</v>
      </c>
      <c r="J24" s="14">
        <f>SUM(D24:H24)-I24</f>
        <v/>
      </c>
      <c r="K24" s="14">
        <f>K23+J24</f>
        <v/>
      </c>
      <c r="L24" s="14">
        <f>L23*(1+Assumptions!$B$7)</f>
        <v/>
      </c>
      <c r="M24" s="14">
        <f>K24-L24</f>
        <v/>
      </c>
    </row>
    <row r="25">
      <c r="A25" s="10" t="n">
        <v>20</v>
      </c>
      <c r="B25" s="4">
        <f>CHOOSE(MOD(A25-1,7)+1,"Mon","Tue","Wed","Thu","Fri","Sat","Sun")</f>
        <v/>
      </c>
      <c r="C25" s="4" t="n"/>
      <c r="D25" s="14" t="n">
        <v>0</v>
      </c>
      <c r="E25" s="14" t="n">
        <v>0</v>
      </c>
      <c r="F25" s="14" t="n">
        <v>0</v>
      </c>
      <c r="G25" s="14" t="n">
        <v>0</v>
      </c>
      <c r="H25" s="15">
        <f>(Assumptions!$B$9*Assumptions!$B$10*Assumptions!$B$11)-(Assumptions!$B$9*Assumptions!$B$12)</f>
        <v/>
      </c>
      <c r="I25" s="14" t="n">
        <v>0</v>
      </c>
      <c r="J25" s="14">
        <f>SUM(D25:H25)-I25</f>
        <v/>
      </c>
      <c r="K25" s="14">
        <f>K24+J25</f>
        <v/>
      </c>
      <c r="L25" s="14">
        <f>L24*(1+Assumptions!$B$7)</f>
        <v/>
      </c>
      <c r="M25" s="14">
        <f>K25-L25</f>
        <v/>
      </c>
    </row>
    <row r="26">
      <c r="A26" s="10" t="n">
        <v>21</v>
      </c>
      <c r="B26" s="4">
        <f>CHOOSE(MOD(A26-1,7)+1,"Mon","Tue","Wed","Thu","Fri","Sat","Sun")</f>
        <v/>
      </c>
      <c r="C26" s="4" t="n"/>
      <c r="D26" s="14" t="n">
        <v>0</v>
      </c>
      <c r="E26" s="14" t="n">
        <v>0</v>
      </c>
      <c r="F26" s="14" t="n">
        <v>0</v>
      </c>
      <c r="G26" s="14" t="n">
        <v>0</v>
      </c>
      <c r="H26" s="15">
        <f>(Assumptions!$B$9*Assumptions!$B$10*Assumptions!$B$11)-(Assumptions!$B$9*Assumptions!$B$12)</f>
        <v/>
      </c>
      <c r="I26" s="14" t="n">
        <v>0</v>
      </c>
      <c r="J26" s="14">
        <f>SUM(D26:H26)-I26</f>
        <v/>
      </c>
      <c r="K26" s="14">
        <f>K25+J26</f>
        <v/>
      </c>
      <c r="L26" s="14">
        <f>L25*(1+Assumptions!$B$7)</f>
        <v/>
      </c>
      <c r="M26" s="14">
        <f>K26-L26</f>
        <v/>
      </c>
    </row>
    <row r="27">
      <c r="A27" s="10" t="n">
        <v>22</v>
      </c>
      <c r="B27" s="4">
        <f>CHOOSE(MOD(A27-1,7)+1,"Mon","Tue","Wed","Thu","Fri","Sat","Sun")</f>
        <v/>
      </c>
      <c r="C27" s="4" t="n"/>
      <c r="D27" s="14" t="n">
        <v>0</v>
      </c>
      <c r="E27" s="14" t="n">
        <v>0</v>
      </c>
      <c r="F27" s="14" t="n">
        <v>0</v>
      </c>
      <c r="G27" s="14" t="n">
        <v>0</v>
      </c>
      <c r="H27" s="15">
        <f>(Assumptions!$B$9*Assumptions!$B$10*Assumptions!$B$11)-(Assumptions!$B$9*Assumptions!$B$12)</f>
        <v/>
      </c>
      <c r="I27" s="14" t="n">
        <v>0</v>
      </c>
      <c r="J27" s="14">
        <f>SUM(D27:H27)-I27</f>
        <v/>
      </c>
      <c r="K27" s="14">
        <f>K26+J27</f>
        <v/>
      </c>
      <c r="L27" s="14">
        <f>L26*(1+Assumptions!$B$7)</f>
        <v/>
      </c>
      <c r="M27" s="14">
        <f>K27-L27</f>
        <v/>
      </c>
    </row>
    <row r="28">
      <c r="A28" s="10" t="n">
        <v>23</v>
      </c>
      <c r="B28" s="4">
        <f>CHOOSE(MOD(A28-1,7)+1,"Mon","Tue","Wed","Thu","Fri","Sat","Sun")</f>
        <v/>
      </c>
      <c r="C28" s="4" t="n"/>
      <c r="D28" s="14" t="n">
        <v>0</v>
      </c>
      <c r="E28" s="14" t="n">
        <v>0</v>
      </c>
      <c r="F28" s="14" t="n">
        <v>0</v>
      </c>
      <c r="G28" s="14" t="n">
        <v>0</v>
      </c>
      <c r="H28" s="15">
        <f>(Assumptions!$B$9*Assumptions!$B$10*Assumptions!$B$11)-(Assumptions!$B$9*Assumptions!$B$12)</f>
        <v/>
      </c>
      <c r="I28" s="14" t="n">
        <v>0</v>
      </c>
      <c r="J28" s="14">
        <f>SUM(D28:H28)-I28</f>
        <v/>
      </c>
      <c r="K28" s="14">
        <f>K27+J28</f>
        <v/>
      </c>
      <c r="L28" s="14">
        <f>L27*(1+Assumptions!$B$7)</f>
        <v/>
      </c>
      <c r="M28" s="14">
        <f>K28-L28</f>
        <v/>
      </c>
    </row>
    <row r="29">
      <c r="A29" s="10" t="n">
        <v>24</v>
      </c>
      <c r="B29" s="4">
        <f>CHOOSE(MOD(A29-1,7)+1,"Mon","Tue","Wed","Thu","Fri","Sat","Sun")</f>
        <v/>
      </c>
      <c r="C29" s="4" t="inlineStr">
        <is>
          <t>Hay cut 3 — East</t>
        </is>
      </c>
      <c r="D29" s="15">
        <f>Assumptions!$G$17*Assumptions!$H$17</f>
        <v/>
      </c>
      <c r="E29" s="14" t="n">
        <v>0</v>
      </c>
      <c r="F29" s="14" t="n">
        <v>0</v>
      </c>
      <c r="G29" s="14" t="n">
        <v>0</v>
      </c>
      <c r="H29" s="15">
        <f>(Assumptions!$B$9*Assumptions!$B$10*Assumptions!$B$11)-(Assumptions!$B$9*Assumptions!$B$12)</f>
        <v/>
      </c>
      <c r="I29" s="15">
        <f>Assumptions!$E$17</f>
        <v/>
      </c>
      <c r="J29" s="14">
        <f>SUM(D29:H29)-I29</f>
        <v/>
      </c>
      <c r="K29" s="14">
        <f>K28+J29</f>
        <v/>
      </c>
      <c r="L29" s="14">
        <f>L28*(1+Assumptions!$B$7)</f>
        <v/>
      </c>
      <c r="M29" s="14">
        <f>K29-L29</f>
        <v/>
      </c>
    </row>
    <row r="30">
      <c r="A30" s="10" t="n">
        <v>25</v>
      </c>
      <c r="B30" s="4">
        <f>CHOOSE(MOD(A30-1,7)+1,"Mon","Tue","Wed","Thu","Fri","Sat","Sun")</f>
        <v/>
      </c>
      <c r="C30" s="4" t="n"/>
      <c r="D30" s="14" t="n">
        <v>0</v>
      </c>
      <c r="E30" s="14" t="n">
        <v>0</v>
      </c>
      <c r="F30" s="14" t="n">
        <v>0</v>
      </c>
      <c r="G30" s="14" t="n">
        <v>0</v>
      </c>
      <c r="H30" s="15">
        <f>(Assumptions!$B$9*Assumptions!$B$10*Assumptions!$B$11)-(Assumptions!$B$9*Assumptions!$B$12)</f>
        <v/>
      </c>
      <c r="I30" s="14" t="n">
        <v>0</v>
      </c>
      <c r="J30" s="14">
        <f>SUM(D30:H30)-I30</f>
        <v/>
      </c>
      <c r="K30" s="14">
        <f>K29+J30</f>
        <v/>
      </c>
      <c r="L30" s="14">
        <f>L29*(1+Assumptions!$B$7)</f>
        <v/>
      </c>
      <c r="M30" s="14">
        <f>K30-L30</f>
        <v/>
      </c>
    </row>
    <row r="31">
      <c r="A31" s="10" t="n">
        <v>26</v>
      </c>
      <c r="B31" s="4">
        <f>CHOOSE(MOD(A31-1,7)+1,"Mon","Tue","Wed","Thu","Fri","Sat","Sun")</f>
        <v/>
      </c>
      <c r="C31" s="4" t="n"/>
      <c r="D31" s="14" t="n">
        <v>0</v>
      </c>
      <c r="E31" s="14" t="n">
        <v>0</v>
      </c>
      <c r="F31" s="14" t="n">
        <v>0</v>
      </c>
      <c r="G31" s="14" t="n">
        <v>0</v>
      </c>
      <c r="H31" s="15">
        <f>(Assumptions!$B$9*Assumptions!$B$10*Assumptions!$B$11)-(Assumptions!$B$9*Assumptions!$B$12)</f>
        <v/>
      </c>
      <c r="I31" s="14" t="n">
        <v>0</v>
      </c>
      <c r="J31" s="14">
        <f>SUM(D31:H31)-I31</f>
        <v/>
      </c>
      <c r="K31" s="14">
        <f>K30+J31</f>
        <v/>
      </c>
      <c r="L31" s="14">
        <f>L30*(1+Assumptions!$B$7)</f>
        <v/>
      </c>
      <c r="M31" s="14">
        <f>K31-L31</f>
        <v/>
      </c>
    </row>
    <row r="32">
      <c r="A32" s="10" t="n">
        <v>27</v>
      </c>
      <c r="B32" s="4">
        <f>CHOOSE(MOD(A32-1,7)+1,"Mon","Tue","Wed","Thu","Fri","Sat","Sun")</f>
        <v/>
      </c>
      <c r="C32" s="4" t="n"/>
      <c r="D32" s="14" t="n">
        <v>0</v>
      </c>
      <c r="E32" s="14" t="n">
        <v>0</v>
      </c>
      <c r="F32" s="14" t="n">
        <v>0</v>
      </c>
      <c r="G32" s="14" t="n">
        <v>0</v>
      </c>
      <c r="H32" s="15">
        <f>(Assumptions!$B$9*Assumptions!$B$10*Assumptions!$B$11)-(Assumptions!$B$9*Assumptions!$B$12)</f>
        <v/>
      </c>
      <c r="I32" s="14" t="n">
        <v>0</v>
      </c>
      <c r="J32" s="14">
        <f>SUM(D32:H32)-I32</f>
        <v/>
      </c>
      <c r="K32" s="14">
        <f>K31+J32</f>
        <v/>
      </c>
      <c r="L32" s="14">
        <f>L31*(1+Assumptions!$B$7)</f>
        <v/>
      </c>
      <c r="M32" s="14">
        <f>K32-L32</f>
        <v/>
      </c>
    </row>
    <row r="33">
      <c r="A33" s="10" t="n">
        <v>28</v>
      </c>
      <c r="B33" s="4">
        <f>CHOOSE(MOD(A33-1,7)+1,"Mon","Tue","Wed","Thu","Fri","Sat","Sun")</f>
        <v/>
      </c>
      <c r="C33" s="4" t="n"/>
      <c r="D33" s="14" t="n">
        <v>0</v>
      </c>
      <c r="E33" s="14" t="n">
        <v>0</v>
      </c>
      <c r="F33" s="14" t="n">
        <v>0</v>
      </c>
      <c r="G33" s="14" t="n">
        <v>0</v>
      </c>
      <c r="H33" s="15">
        <f>(Assumptions!$B$9*Assumptions!$B$10*Assumptions!$B$11)-(Assumptions!$B$9*Assumptions!$B$12)</f>
        <v/>
      </c>
      <c r="I33" s="14" t="n">
        <v>0</v>
      </c>
      <c r="J33" s="14">
        <f>SUM(D33:H33)-I33</f>
        <v/>
      </c>
      <c r="K33" s="14">
        <f>K32+J33</f>
        <v/>
      </c>
      <c r="L33" s="14">
        <f>L32*(1+Assumptions!$B$7)</f>
        <v/>
      </c>
      <c r="M33" s="14">
        <f>K33-L33</f>
        <v/>
      </c>
    </row>
    <row r="34">
      <c r="A34" s="10" t="n">
        <v>29</v>
      </c>
      <c r="B34" s="4">
        <f>CHOOSE(MOD(A34-1,7)+1,"Mon","Tue","Wed","Thu","Fri","Sat","Sun")</f>
        <v/>
      </c>
      <c r="C34" s="4" t="n"/>
      <c r="D34" s="14" t="n">
        <v>0</v>
      </c>
      <c r="E34" s="14" t="n">
        <v>0</v>
      </c>
      <c r="F34" s="14" t="n">
        <v>0</v>
      </c>
      <c r="G34" s="14" t="n">
        <v>0</v>
      </c>
      <c r="H34" s="15">
        <f>(Assumptions!$B$9*Assumptions!$B$10*Assumptions!$B$11)-(Assumptions!$B$9*Assumptions!$B$12)</f>
        <v/>
      </c>
      <c r="I34" s="14" t="n">
        <v>0</v>
      </c>
      <c r="J34" s="14">
        <f>SUM(D34:H34)-I34</f>
        <v/>
      </c>
      <c r="K34" s="14">
        <f>K33+J34</f>
        <v/>
      </c>
      <c r="L34" s="14">
        <f>L33*(1+Assumptions!$B$7)</f>
        <v/>
      </c>
      <c r="M34" s="14">
        <f>K34-L34</f>
        <v/>
      </c>
    </row>
    <row r="35">
      <c r="A35" s="10" t="n">
        <v>30</v>
      </c>
      <c r="B35" s="4">
        <f>CHOOSE(MOD(A35-1,7)+1,"Mon","Tue","Wed","Thu","Fri","Sat","Sun")</f>
        <v/>
      </c>
      <c r="C35" s="4" t="n"/>
      <c r="D35" s="14" t="n">
        <v>0</v>
      </c>
      <c r="E35" s="14" t="n">
        <v>0</v>
      </c>
      <c r="F35" s="14" t="n">
        <v>0</v>
      </c>
      <c r="G35" s="14" t="n">
        <v>0</v>
      </c>
      <c r="H35" s="15">
        <f>(Assumptions!$B$9*Assumptions!$B$10*Assumptions!$B$11)-(Assumptions!$B$9*Assumptions!$B$12)</f>
        <v/>
      </c>
      <c r="I35" s="14" t="n">
        <v>0</v>
      </c>
      <c r="J35" s="14">
        <f>SUM(D35:H35)-I35</f>
        <v/>
      </c>
      <c r="K35" s="14">
        <f>K34+J35</f>
        <v/>
      </c>
      <c r="L35" s="14">
        <f>L34*(1+Assumptions!$B$7)</f>
        <v/>
      </c>
      <c r="M35" s="14">
        <f>K35-L35</f>
        <v/>
      </c>
    </row>
    <row r="37">
      <c r="A37" s="3" t="inlineStr">
        <is>
          <t>RUN SUMMARY</t>
        </is>
      </c>
    </row>
    <row r="38">
      <c r="A38" s="16" t="inlineStr">
        <is>
          <t>Total spot sales</t>
        </is>
      </c>
      <c r="B38" s="14">
        <f>SUM(D6:D35)</f>
        <v/>
      </c>
    </row>
    <row r="39">
      <c r="A39" s="16" t="inlineStr">
        <is>
          <t>Total negotiated (rep)</t>
        </is>
      </c>
      <c r="B39" s="14">
        <f>SUM(E6:E35)</f>
        <v/>
      </c>
    </row>
    <row r="40">
      <c r="A40" s="16" t="inlineStr">
        <is>
          <t>Total timed (info)</t>
        </is>
      </c>
      <c r="B40" s="14">
        <f>SUM(F6:F35)</f>
        <v/>
      </c>
    </row>
    <row r="41">
      <c r="A41" s="16" t="inlineStr">
        <is>
          <t>Total repair &amp; flip</t>
        </is>
      </c>
      <c r="B41" s="14">
        <f>SUM(G6:G35)</f>
        <v/>
      </c>
    </row>
    <row r="42">
      <c r="A42" s="16" t="inlineStr">
        <is>
          <t>Total eggs &amp; favors</t>
        </is>
      </c>
      <c r="B42" s="14">
        <f>SUM(H6:H35)</f>
        <v/>
      </c>
    </row>
    <row r="43">
      <c r="A43" s="16" t="inlineStr">
        <is>
          <t>Total costs</t>
        </is>
      </c>
      <c r="B43" s="14">
        <f>SUM(I6:I35)</f>
        <v/>
      </c>
    </row>
    <row r="44">
      <c r="A44" s="16" t="inlineStr">
        <is>
          <t>End cash</t>
        </is>
      </c>
      <c r="B44" s="14">
        <f>K35</f>
        <v/>
      </c>
    </row>
    <row r="45">
      <c r="A45" s="16" t="inlineStr">
        <is>
          <t>End debt</t>
        </is>
      </c>
      <c r="B45" s="14">
        <f>L35</f>
        <v/>
      </c>
    </row>
    <row r="46">
      <c r="A46" s="16" t="inlineStr">
        <is>
          <t>Net worth delta</t>
        </is>
      </c>
      <c r="B46" s="14">
        <f>M35-(Assumptions!$B$5-Assumptions!$B$6)</f>
        <v/>
      </c>
    </row>
    <row r="47">
      <c r="A47" s="16" t="inlineStr">
        <is>
          <t>Top income source</t>
        </is>
      </c>
      <c r="B47" s="4">
        <f>INDEX({"Spot sales";"Negotiated (rep)";"Timed (info)";"Repair &amp; flip";"Eggs &amp; favors"},MATCH(MAX(B38:B42),B38:B42,0))</f>
        <v/>
      </c>
    </row>
  </sheetData>
  <mergeCells count="1"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4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NEPHEW — 30-DAY CASH FLOW</t>
        </is>
      </c>
    </row>
    <row r="2">
      <c r="A2" s="2" t="inlineStr">
        <is>
          <t>Higher labor costs force crop selection by the numbers: soybeans + corn, all sales timed off the forecast for the arbitrage edge. Egg contract renegotiated on day 1 with data. Wins on information, not relationships.</t>
        </is>
      </c>
    </row>
    <row r="3">
      <c r="A3" s="13" t="inlineStr">
        <is>
          <t>Income category gates: Negotiated = reputation-locked · Timed = info-locked · Repair &amp; flip = wrench-locked</t>
        </is>
      </c>
    </row>
    <row r="5">
      <c r="A5" s="3" t="inlineStr">
        <is>
          <t>Day</t>
        </is>
      </c>
      <c r="B5" s="3" t="inlineStr">
        <is>
          <t>Weekday</t>
        </is>
      </c>
      <c r="C5" s="3" t="inlineStr">
        <is>
          <t>Event</t>
        </is>
      </c>
      <c r="D5" s="3" t="inlineStr">
        <is>
          <t>Spot sales</t>
        </is>
      </c>
      <c r="E5" s="3" t="inlineStr">
        <is>
          <t>Negotiated (rep)</t>
        </is>
      </c>
      <c r="F5" s="3" t="inlineStr">
        <is>
          <t>Timed (info)</t>
        </is>
      </c>
      <c r="G5" s="3" t="inlineStr">
        <is>
          <t>Repair &amp; flip</t>
        </is>
      </c>
      <c r="H5" s="3" t="inlineStr">
        <is>
          <t>Eggs &amp; favors</t>
        </is>
      </c>
      <c r="I5" s="3" t="inlineStr">
        <is>
          <t>Costs</t>
        </is>
      </c>
      <c r="J5" s="3" t="inlineStr">
        <is>
          <t>Net</t>
        </is>
      </c>
      <c r="K5" s="3" t="inlineStr">
        <is>
          <t>Cash</t>
        </is>
      </c>
      <c r="L5" s="3" t="inlineStr">
        <is>
          <t>Debt</t>
        </is>
      </c>
      <c r="M5" s="3" t="inlineStr">
        <is>
          <t>Net worth</t>
        </is>
      </c>
    </row>
    <row r="6">
      <c r="A6" s="10" t="n">
        <v>1</v>
      </c>
      <c r="B6" s="4">
        <f>CHOOSE(MOD(A6-1,7)+1,"Mon","Tue","Wed","Thu","Fri","Sat","Sun")</f>
        <v/>
      </c>
      <c r="C6" s="4" t="inlineStr">
        <is>
          <t>Audit Marge's egg contract — premium locked in (data check)</t>
        </is>
      </c>
      <c r="D6" s="14" t="n">
        <v>0</v>
      </c>
      <c r="E6" s="14" t="n">
        <v>0</v>
      </c>
      <c r="F6" s="14" t="n">
        <v>0</v>
      </c>
      <c r="G6" s="14" t="n">
        <v>0</v>
      </c>
      <c r="H6" s="15">
        <f>(Assumptions!$B$9*Assumptions!$B$10*Assumptions!$B$11*Assumptions!$B$25)-(Assumptions!$B$9*Assumptions!$B$12*IF(A6&gt;=20,0,1))</f>
        <v/>
      </c>
      <c r="I6" s="14" t="n">
        <v>0</v>
      </c>
      <c r="J6" s="14">
        <f>SUM(D6:H6)-I6</f>
        <v/>
      </c>
      <c r="K6" s="14">
        <f>Assumptions!$B$5+J6</f>
        <v/>
      </c>
      <c r="L6" s="14">
        <f>Assumptions!$B$6*(1+Assumptions!$B$7)</f>
        <v/>
      </c>
      <c r="M6" s="14">
        <f>K6-L6</f>
        <v/>
      </c>
    </row>
    <row r="7">
      <c r="A7" s="10" t="n">
        <v>2</v>
      </c>
      <c r="B7" s="4">
        <f>CHOOSE(MOD(A7-1,7)+1,"Mon","Tue","Wed","Thu","Fri","Sat","Sun")</f>
        <v/>
      </c>
      <c r="C7" s="4" t="inlineStr">
        <is>
          <t>Plant corn — North (hired labor)</t>
        </is>
      </c>
      <c r="D7" s="14" t="n">
        <v>0</v>
      </c>
      <c r="E7" s="14" t="n">
        <v>0</v>
      </c>
      <c r="F7" s="14" t="n">
        <v>0</v>
      </c>
      <c r="G7" s="14" t="n">
        <v>0</v>
      </c>
      <c r="H7" s="15">
        <f>(Assumptions!$B$9*Assumptions!$B$10*Assumptions!$B$11*Assumptions!$B$25)-(Assumptions!$B$9*Assumptions!$B$12*IF(A7&gt;=20,0,1))</f>
        <v/>
      </c>
      <c r="I7" s="15">
        <f>Assumptions!$B$15*Assumptions!$B$23+Assumptions!$B$8</f>
        <v/>
      </c>
      <c r="J7" s="14">
        <f>SUM(D7:H7)-I7</f>
        <v/>
      </c>
      <c r="K7" s="14">
        <f>K6+J7</f>
        <v/>
      </c>
      <c r="L7" s="14">
        <f>L6*(1+Assumptions!$B$7)</f>
        <v/>
      </c>
      <c r="M7" s="14">
        <f>K7-L7</f>
        <v/>
      </c>
    </row>
    <row r="8">
      <c r="A8" s="10" t="n">
        <v>3</v>
      </c>
      <c r="B8" s="4">
        <f>CHOOSE(MOD(A8-1,7)+1,"Mon","Tue","Wed","Thu","Fri","Sat","Sun")</f>
        <v/>
      </c>
      <c r="C8" s="4" t="inlineStr">
        <is>
          <t>Plant soybeans — South (hired labor)</t>
        </is>
      </c>
      <c r="D8" s="14" t="n">
        <v>0</v>
      </c>
      <c r="E8" s="14" t="n">
        <v>0</v>
      </c>
      <c r="F8" s="14" t="n">
        <v>0</v>
      </c>
      <c r="G8" s="14" t="n">
        <v>0</v>
      </c>
      <c r="H8" s="15">
        <f>(Assumptions!$B$9*Assumptions!$B$10*Assumptions!$B$11*Assumptions!$B$25)-(Assumptions!$B$9*Assumptions!$B$12*IF(A8&gt;=20,0,1))</f>
        <v/>
      </c>
      <c r="I8" s="15">
        <f>Assumptions!$B$16*Assumptions!$B$23+Assumptions!$B$8</f>
        <v/>
      </c>
      <c r="J8" s="14">
        <f>SUM(D8:H8)-I8</f>
        <v/>
      </c>
      <c r="K8" s="14">
        <f>K7+J8</f>
        <v/>
      </c>
      <c r="L8" s="14">
        <f>L7*(1+Assumptions!$B$7)</f>
        <v/>
      </c>
      <c r="M8" s="14">
        <f>K8-L8</f>
        <v/>
      </c>
    </row>
    <row r="9">
      <c r="A9" s="10" t="n">
        <v>4</v>
      </c>
      <c r="B9" s="4">
        <f>CHOOSE(MOD(A9-1,7)+1,"Mon","Tue","Wed","Thu","Fri","Sat","Sun")</f>
        <v/>
      </c>
      <c r="C9" s="4" t="n"/>
      <c r="D9" s="14" t="n">
        <v>0</v>
      </c>
      <c r="E9" s="14" t="n">
        <v>0</v>
      </c>
      <c r="F9" s="14" t="n">
        <v>0</v>
      </c>
      <c r="G9" s="14" t="n">
        <v>0</v>
      </c>
      <c r="H9" s="15">
        <f>(Assumptions!$B$9*Assumptions!$B$10*Assumptions!$B$11*Assumptions!$B$25)-(Assumptions!$B$9*Assumptions!$B$12*IF(A9&gt;=20,0,1))</f>
        <v/>
      </c>
      <c r="I9" s="14" t="n">
        <v>0</v>
      </c>
      <c r="J9" s="14">
        <f>SUM(D9:H9)-I9</f>
        <v/>
      </c>
      <c r="K9" s="14">
        <f>K8+J9</f>
        <v/>
      </c>
      <c r="L9" s="14">
        <f>L8*(1+Assumptions!$B$7)</f>
        <v/>
      </c>
      <c r="M9" s="14">
        <f>K9-L9</f>
        <v/>
      </c>
    </row>
    <row r="10">
      <c r="A10" s="10" t="n">
        <v>5</v>
      </c>
      <c r="B10" s="4">
        <f>CHOOSE(MOD(A10-1,7)+1,"Mon","Tue","Wed","Thu","Fri","Sat","Sun")</f>
        <v/>
      </c>
      <c r="C10" s="4" t="n"/>
      <c r="D10" s="14" t="n">
        <v>0</v>
      </c>
      <c r="E10" s="14" t="n">
        <v>0</v>
      </c>
      <c r="F10" s="14" t="n">
        <v>0</v>
      </c>
      <c r="G10" s="14" t="n">
        <v>0</v>
      </c>
      <c r="H10" s="15">
        <f>(Assumptions!$B$9*Assumptions!$B$10*Assumptions!$B$11*Assumptions!$B$25)-(Assumptions!$B$9*Assumptions!$B$12*IF(A10&gt;=20,0,1))</f>
        <v/>
      </c>
      <c r="I10" s="14" t="n">
        <v>0</v>
      </c>
      <c r="J10" s="14">
        <f>SUM(D10:H10)-I10</f>
        <v/>
      </c>
      <c r="K10" s="14">
        <f>K9+J10</f>
        <v/>
      </c>
      <c r="L10" s="14">
        <f>L9*(1+Assumptions!$B$7)</f>
        <v/>
      </c>
      <c r="M10" s="14">
        <f>K10-L10</f>
        <v/>
      </c>
    </row>
    <row r="11">
      <c r="A11" s="10" t="n">
        <v>6</v>
      </c>
      <c r="B11" s="4">
        <f>CHOOSE(MOD(A11-1,7)+1,"Mon","Tue","Wed","Thu","Fri","Sat","Sun")</f>
        <v/>
      </c>
      <c r="C11" s="4" t="n"/>
      <c r="D11" s="14" t="n">
        <v>0</v>
      </c>
      <c r="E11" s="14" t="n">
        <v>0</v>
      </c>
      <c r="F11" s="14" t="n">
        <v>0</v>
      </c>
      <c r="G11" s="14" t="n">
        <v>0</v>
      </c>
      <c r="H11" s="15">
        <f>(Assumptions!$B$9*Assumptions!$B$10*Assumptions!$B$11*Assumptions!$B$25)-(Assumptions!$B$9*Assumptions!$B$12*IF(A11&gt;=20,0,1))</f>
        <v/>
      </c>
      <c r="I11" s="14" t="n">
        <v>0</v>
      </c>
      <c r="J11" s="14">
        <f>SUM(D11:H11)-I11</f>
        <v/>
      </c>
      <c r="K11" s="14">
        <f>K10+J11</f>
        <v/>
      </c>
      <c r="L11" s="14">
        <f>L10*(1+Assumptions!$B$7)</f>
        <v/>
      </c>
      <c r="M11" s="14">
        <f>K11-L11</f>
        <v/>
      </c>
    </row>
    <row r="12">
      <c r="A12" s="10" t="n">
        <v>7</v>
      </c>
      <c r="B12" s="4">
        <f>CHOOSE(MOD(A12-1,7)+1,"Mon","Tue","Wed","Thu","Fri","Sat","Sun")</f>
        <v/>
      </c>
      <c r="C12" s="4" t="n"/>
      <c r="D12" s="14" t="n">
        <v>0</v>
      </c>
      <c r="E12" s="14" t="n">
        <v>0</v>
      </c>
      <c r="F12" s="14" t="n">
        <v>0</v>
      </c>
      <c r="G12" s="14" t="n">
        <v>0</v>
      </c>
      <c r="H12" s="15">
        <f>(Assumptions!$B$9*Assumptions!$B$10*Assumptions!$B$11*Assumptions!$B$25)-(Assumptions!$B$9*Assumptions!$B$12*IF(A12&gt;=20,0,1))</f>
        <v/>
      </c>
      <c r="I12" s="14" t="n">
        <v>0</v>
      </c>
      <c r="J12" s="14">
        <f>SUM(D12:H12)-I12</f>
        <v/>
      </c>
      <c r="K12" s="14">
        <f>K11+J12</f>
        <v/>
      </c>
      <c r="L12" s="14">
        <f>L11*(1+Assumptions!$B$7)</f>
        <v/>
      </c>
      <c r="M12" s="14">
        <f>K12-L12</f>
        <v/>
      </c>
    </row>
    <row r="13">
      <c r="A13" s="10" t="n">
        <v>8</v>
      </c>
      <c r="B13" s="4">
        <f>CHOOSE(MOD(A13-1,7)+1,"Mon","Tue","Wed","Thu","Fri","Sat","Sun")</f>
        <v/>
      </c>
      <c r="C13" s="4" t="n"/>
      <c r="D13" s="14" t="n">
        <v>0</v>
      </c>
      <c r="E13" s="14" t="n">
        <v>0</v>
      </c>
      <c r="F13" s="14" t="n">
        <v>0</v>
      </c>
      <c r="G13" s="14" t="n">
        <v>0</v>
      </c>
      <c r="H13" s="15">
        <f>(Assumptions!$B$9*Assumptions!$B$10*Assumptions!$B$11*Assumptions!$B$25)-(Assumptions!$B$9*Assumptions!$B$12*IF(A13&gt;=20,0,1))</f>
        <v/>
      </c>
      <c r="I13" s="14" t="n">
        <v>0</v>
      </c>
      <c r="J13" s="14">
        <f>SUM(D13:H13)-I13</f>
        <v/>
      </c>
      <c r="K13" s="14">
        <f>K12+J13</f>
        <v/>
      </c>
      <c r="L13" s="14">
        <f>L12*(1+Assumptions!$B$7)</f>
        <v/>
      </c>
      <c r="M13" s="14">
        <f>K13-L13</f>
        <v/>
      </c>
    </row>
    <row r="14">
      <c r="A14" s="10" t="n">
        <v>9</v>
      </c>
      <c r="B14" s="4">
        <f>CHOOSE(MOD(A14-1,7)+1,"Mon","Tue","Wed","Thu","Fri","Sat","Sun")</f>
        <v/>
      </c>
      <c r="C14" s="4" t="n"/>
      <c r="D14" s="14" t="n">
        <v>0</v>
      </c>
      <c r="E14" s="14" t="n">
        <v>0</v>
      </c>
      <c r="F14" s="14" t="n">
        <v>0</v>
      </c>
      <c r="G14" s="14" t="n">
        <v>0</v>
      </c>
      <c r="H14" s="15">
        <f>(Assumptions!$B$9*Assumptions!$B$10*Assumptions!$B$11*Assumptions!$B$25)-(Assumptions!$B$9*Assumptions!$B$12*IF(A14&gt;=20,0,1))</f>
        <v/>
      </c>
      <c r="I14" s="14" t="n">
        <v>0</v>
      </c>
      <c r="J14" s="14">
        <f>SUM(D14:H14)-I14</f>
        <v/>
      </c>
      <c r="K14" s="14">
        <f>K13+J14</f>
        <v/>
      </c>
      <c r="L14" s="14">
        <f>L13*(1+Assumptions!$B$7)</f>
        <v/>
      </c>
      <c r="M14" s="14">
        <f>K14-L14</f>
        <v/>
      </c>
    </row>
    <row r="15">
      <c r="A15" s="10" t="n">
        <v>10</v>
      </c>
      <c r="B15" s="4">
        <f>CHOOSE(MOD(A15-1,7)+1,"Mon","Tue","Wed","Thu","Fri","Sat","Sun")</f>
        <v/>
      </c>
      <c r="C15" s="4" t="n"/>
      <c r="D15" s="14" t="n">
        <v>0</v>
      </c>
      <c r="E15" s="14" t="n">
        <v>0</v>
      </c>
      <c r="F15" s="14" t="n">
        <v>0</v>
      </c>
      <c r="G15" s="14" t="n">
        <v>0</v>
      </c>
      <c r="H15" s="15">
        <f>(Assumptions!$B$9*Assumptions!$B$10*Assumptions!$B$11*Assumptions!$B$25)-(Assumptions!$B$9*Assumptions!$B$12*IF(A15&gt;=20,0,1))</f>
        <v/>
      </c>
      <c r="I15" s="14" t="n">
        <v>0</v>
      </c>
      <c r="J15" s="14">
        <f>SUM(D15:H15)-I15</f>
        <v/>
      </c>
      <c r="K15" s="14">
        <f>K14+J15</f>
        <v/>
      </c>
      <c r="L15" s="14">
        <f>L14*(1+Assumptions!$B$7)</f>
        <v/>
      </c>
      <c r="M15" s="14">
        <f>K15-L15</f>
        <v/>
      </c>
    </row>
    <row r="16">
      <c r="A16" s="10" t="n">
        <v>11</v>
      </c>
      <c r="B16" s="4">
        <f>CHOOSE(MOD(A16-1,7)+1,"Mon","Tue","Wed","Thu","Fri","Sat","Sun")</f>
        <v/>
      </c>
      <c r="C16" s="4" t="n"/>
      <c r="D16" s="14" t="n">
        <v>0</v>
      </c>
      <c r="E16" s="14" t="n">
        <v>0</v>
      </c>
      <c r="F16" s="14" t="n">
        <v>0</v>
      </c>
      <c r="G16" s="14" t="n">
        <v>0</v>
      </c>
      <c r="H16" s="15">
        <f>(Assumptions!$B$9*Assumptions!$B$10*Assumptions!$B$11*Assumptions!$B$25)-(Assumptions!$B$9*Assumptions!$B$12*IF(A16&gt;=20,0,1))</f>
        <v/>
      </c>
      <c r="I16" s="14" t="n">
        <v>0</v>
      </c>
      <c r="J16" s="14">
        <f>SUM(D16:H16)-I16</f>
        <v/>
      </c>
      <c r="K16" s="14">
        <f>K15+J16</f>
        <v/>
      </c>
      <c r="L16" s="14">
        <f>L15*(1+Assumptions!$B$7)</f>
        <v/>
      </c>
      <c r="M16" s="14">
        <f>K16-L16</f>
        <v/>
      </c>
    </row>
    <row r="17">
      <c r="A17" s="10" t="n">
        <v>12</v>
      </c>
      <c r="B17" s="4">
        <f>CHOOSE(MOD(A17-1,7)+1,"Mon","Tue","Wed","Thu","Fri","Sat","Sun")</f>
        <v/>
      </c>
      <c r="C17" s="4" t="inlineStr">
        <is>
          <t>Harvest soybeans — South</t>
        </is>
      </c>
      <c r="D17" s="14" t="n">
        <v>0</v>
      </c>
      <c r="E17" s="14" t="n">
        <v>0</v>
      </c>
      <c r="F17" s="14" t="n">
        <v>0</v>
      </c>
      <c r="G17" s="14" t="n">
        <v>0</v>
      </c>
      <c r="H17" s="15">
        <f>(Assumptions!$B$9*Assumptions!$B$10*Assumptions!$B$11*Assumptions!$B$25)-(Assumptions!$B$9*Assumptions!$B$12*IF(A17&gt;=20,0,1))</f>
        <v/>
      </c>
      <c r="I17" s="15">
        <f>Assumptions!$E$16*Assumptions!$B$23</f>
        <v/>
      </c>
      <c r="J17" s="14">
        <f>SUM(D17:H17)-I17</f>
        <v/>
      </c>
      <c r="K17" s="14">
        <f>K16+J17</f>
        <v/>
      </c>
      <c r="L17" s="14">
        <f>L16*(1+Assumptions!$B$7)</f>
        <v/>
      </c>
      <c r="M17" s="14">
        <f>K17-L17</f>
        <v/>
      </c>
    </row>
    <row r="18">
      <c r="A18" s="10" t="n">
        <v>13</v>
      </c>
      <c r="B18" s="4">
        <f>CHOOSE(MOD(A18-1,7)+1,"Mon","Tue","Wed","Thu","Fri","Sat","Sun")</f>
        <v/>
      </c>
      <c r="C18" s="4" t="n"/>
      <c r="D18" s="14" t="n">
        <v>0</v>
      </c>
      <c r="E18" s="14" t="n">
        <v>0</v>
      </c>
      <c r="F18" s="14" t="n">
        <v>0</v>
      </c>
      <c r="G18" s="14" t="n">
        <v>0</v>
      </c>
      <c r="H18" s="15">
        <f>(Assumptions!$B$9*Assumptions!$B$10*Assumptions!$B$11*Assumptions!$B$25)-(Assumptions!$B$9*Assumptions!$B$12*IF(A18&gt;=20,0,1))</f>
        <v/>
      </c>
      <c r="I18" s="14" t="n">
        <v>0</v>
      </c>
      <c r="J18" s="14">
        <f>SUM(D18:H18)-I18</f>
        <v/>
      </c>
      <c r="K18" s="14">
        <f>K17+J18</f>
        <v/>
      </c>
      <c r="L18" s="14">
        <f>L17*(1+Assumptions!$B$7)</f>
        <v/>
      </c>
      <c r="M18" s="14">
        <f>K18-L18</f>
        <v/>
      </c>
    </row>
    <row r="19">
      <c r="A19" s="10" t="n">
        <v>14</v>
      </c>
      <c r="B19" s="4">
        <f>CHOOSE(MOD(A19-1,7)+1,"Mon","Tue","Wed","Thu","Fri","Sat","Sun")</f>
        <v/>
      </c>
      <c r="C19" s="4" t="inlineStr">
        <is>
          <t>Harvest corn — North</t>
        </is>
      </c>
      <c r="D19" s="14" t="n">
        <v>0</v>
      </c>
      <c r="E19" s="14" t="n">
        <v>0</v>
      </c>
      <c r="F19" s="14" t="n">
        <v>0</v>
      </c>
      <c r="G19" s="14" t="n">
        <v>0</v>
      </c>
      <c r="H19" s="15">
        <f>(Assumptions!$B$9*Assumptions!$B$10*Assumptions!$B$11*Assumptions!$B$25)-(Assumptions!$B$9*Assumptions!$B$12*IF(A19&gt;=20,0,1))</f>
        <v/>
      </c>
      <c r="I19" s="15">
        <f>Assumptions!$E$15*Assumptions!$B$23</f>
        <v/>
      </c>
      <c r="J19" s="14">
        <f>SUM(D19:H19)-I19</f>
        <v/>
      </c>
      <c r="K19" s="14">
        <f>K18+J19</f>
        <v/>
      </c>
      <c r="L19" s="14">
        <f>L18*(1+Assumptions!$B$7)</f>
        <v/>
      </c>
      <c r="M19" s="14">
        <f>K19-L19</f>
        <v/>
      </c>
    </row>
    <row r="20">
      <c r="A20" s="10" t="n">
        <v>15</v>
      </c>
      <c r="B20" s="4">
        <f>CHOOSE(MOD(A20-1,7)+1,"Mon","Tue","Wed","Thu","Fri","Sat","Sun")</f>
        <v/>
      </c>
      <c r="C20" s="4" t="inlineStr">
        <is>
          <t>Sell soybeans on forecast spike</t>
        </is>
      </c>
      <c r="D20" s="14" t="n">
        <v>0</v>
      </c>
      <c r="E20" s="14" t="n">
        <v>0</v>
      </c>
      <c r="F20" s="15">
        <f>Assumptions!$G$16*Assumptions!$H$16*Assumptions!$B$24</f>
        <v/>
      </c>
      <c r="G20" s="14" t="n">
        <v>0</v>
      </c>
      <c r="H20" s="15">
        <f>(Assumptions!$B$9*Assumptions!$B$10*Assumptions!$B$11*Assumptions!$B$25)-(Assumptions!$B$9*Assumptions!$B$12*IF(A20&gt;=20,0,1))</f>
        <v/>
      </c>
      <c r="I20" s="15">
        <f>Assumptions!$B$8</f>
        <v/>
      </c>
      <c r="J20" s="14">
        <f>SUM(D20:H20)-I20</f>
        <v/>
      </c>
      <c r="K20" s="14">
        <f>K19+J20</f>
        <v/>
      </c>
      <c r="L20" s="14">
        <f>L19*(1+Assumptions!$B$7)</f>
        <v/>
      </c>
      <c r="M20" s="14">
        <f>K20-L20</f>
        <v/>
      </c>
    </row>
    <row r="21">
      <c r="A21" s="10" t="n">
        <v>16</v>
      </c>
      <c r="B21" s="4">
        <f>CHOOSE(MOD(A21-1,7)+1,"Mon","Tue","Wed","Thu","Fri","Sat","Sun")</f>
        <v/>
      </c>
      <c r="C21" s="4" t="n"/>
      <c r="D21" s="14" t="n">
        <v>0</v>
      </c>
      <c r="E21" s="14" t="n">
        <v>0</v>
      </c>
      <c r="F21" s="14" t="n">
        <v>0</v>
      </c>
      <c r="G21" s="14" t="n">
        <v>0</v>
      </c>
      <c r="H21" s="15">
        <f>(Assumptions!$B$9*Assumptions!$B$10*Assumptions!$B$11*Assumptions!$B$25)-(Assumptions!$B$9*Assumptions!$B$12*IF(A21&gt;=20,0,1))</f>
        <v/>
      </c>
      <c r="I21" s="14" t="n">
        <v>0</v>
      </c>
      <c r="J21" s="14">
        <f>SUM(D21:H21)-I21</f>
        <v/>
      </c>
      <c r="K21" s="14">
        <f>K20+J21</f>
        <v/>
      </c>
      <c r="L21" s="14">
        <f>L20*(1+Assumptions!$B$7)</f>
        <v/>
      </c>
      <c r="M21" s="14">
        <f>K21-L21</f>
        <v/>
      </c>
    </row>
    <row r="22">
      <c r="A22" s="10" t="n">
        <v>17</v>
      </c>
      <c r="B22" s="4">
        <f>CHOOSE(MOD(A22-1,7)+1,"Mon","Tue","Wed","Thu","Fri","Sat","Sun")</f>
        <v/>
      </c>
      <c r="C22" s="4" t="inlineStr">
        <is>
          <t>Sell corn on forecast spike</t>
        </is>
      </c>
      <c r="D22" s="14" t="n">
        <v>0</v>
      </c>
      <c r="E22" s="14" t="n">
        <v>0</v>
      </c>
      <c r="F22" s="15">
        <f>Assumptions!$G$15*Assumptions!$H$15*Assumptions!$B$24</f>
        <v/>
      </c>
      <c r="G22" s="14" t="n">
        <v>0</v>
      </c>
      <c r="H22" s="15">
        <f>(Assumptions!$B$9*Assumptions!$B$10*Assumptions!$B$11*Assumptions!$B$25)-(Assumptions!$B$9*Assumptions!$B$12*IF(A22&gt;=20,0,1))</f>
        <v/>
      </c>
      <c r="I22" s="15">
        <f>Assumptions!$B$8</f>
        <v/>
      </c>
      <c r="J22" s="14">
        <f>SUM(D22:H22)-I22</f>
        <v/>
      </c>
      <c r="K22" s="14">
        <f>K21+J22</f>
        <v/>
      </c>
      <c r="L22" s="14">
        <f>L21*(1+Assumptions!$B$7)</f>
        <v/>
      </c>
      <c r="M22" s="14">
        <f>K22-L22</f>
        <v/>
      </c>
    </row>
    <row r="23">
      <c r="A23" s="10" t="n">
        <v>18</v>
      </c>
      <c r="B23" s="4">
        <f>CHOOSE(MOD(A23-1,7)+1,"Mon","Tue","Wed","Thu","Fri","Sat","Sun")</f>
        <v/>
      </c>
      <c r="C23" s="4" t="n"/>
      <c r="D23" s="14" t="n">
        <v>0</v>
      </c>
      <c r="E23" s="14" t="n">
        <v>0</v>
      </c>
      <c r="F23" s="14" t="n">
        <v>0</v>
      </c>
      <c r="G23" s="14" t="n">
        <v>0</v>
      </c>
      <c r="H23" s="15">
        <f>(Assumptions!$B$9*Assumptions!$B$10*Assumptions!$B$11*Assumptions!$B$25)-(Assumptions!$B$9*Assumptions!$B$12*IF(A23&gt;=20,0,1))</f>
        <v/>
      </c>
      <c r="I23" s="14" t="n">
        <v>0</v>
      </c>
      <c r="J23" s="14">
        <f>SUM(D23:H23)-I23</f>
        <v/>
      </c>
      <c r="K23" s="14">
        <f>K22+J23</f>
        <v/>
      </c>
      <c r="L23" s="14">
        <f>L22*(1+Assumptions!$B$7)</f>
        <v/>
      </c>
      <c r="M23" s="14">
        <f>K23-L23</f>
        <v/>
      </c>
    </row>
    <row r="24">
      <c r="A24" s="10" t="n">
        <v>19</v>
      </c>
      <c r="B24" s="4">
        <f>CHOOSE(MOD(A24-1,7)+1,"Mon","Tue","Wed","Thu","Fri","Sat","Sun")</f>
        <v/>
      </c>
      <c r="C24" s="4" t="n"/>
      <c r="D24" s="14" t="n">
        <v>0</v>
      </c>
      <c r="E24" s="14" t="n">
        <v>0</v>
      </c>
      <c r="F24" s="14" t="n">
        <v>0</v>
      </c>
      <c r="G24" s="14" t="n">
        <v>0</v>
      </c>
      <c r="H24" s="15">
        <f>(Assumptions!$B$9*Assumptions!$B$10*Assumptions!$B$11*Assumptions!$B$25)-(Assumptions!$B$9*Assumptions!$B$12*IF(A24&gt;=20,0,1))</f>
        <v/>
      </c>
      <c r="I24" s="14" t="n">
        <v>0</v>
      </c>
      <c r="J24" s="14">
        <f>SUM(D24:H24)-I24</f>
        <v/>
      </c>
      <c r="K24" s="14">
        <f>K23+J24</f>
        <v/>
      </c>
      <c r="L24" s="14">
        <f>L23*(1+Assumptions!$B$7)</f>
        <v/>
      </c>
      <c r="M24" s="14">
        <f>K24-L24</f>
        <v/>
      </c>
    </row>
    <row r="25">
      <c r="A25" s="10" t="n">
        <v>20</v>
      </c>
      <c r="B25" s="4">
        <f>CHOOSE(MOD(A25-1,7)+1,"Mon","Tue","Wed","Thu","Fri","Sat","Sun")</f>
        <v/>
      </c>
      <c r="C25" s="4" t="inlineStr">
        <is>
          <t>Coop automation online — feed cost eliminated (perk)</t>
        </is>
      </c>
      <c r="D25" s="14" t="n">
        <v>0</v>
      </c>
      <c r="E25" s="14" t="n">
        <v>0</v>
      </c>
      <c r="F25" s="14" t="n">
        <v>0</v>
      </c>
      <c r="G25" s="14" t="n">
        <v>0</v>
      </c>
      <c r="H25" s="15">
        <f>(Assumptions!$B$9*Assumptions!$B$10*Assumptions!$B$11*Assumptions!$B$25)-(Assumptions!$B$9*Assumptions!$B$12*IF(A25&gt;=20,0,1))</f>
        <v/>
      </c>
      <c r="I25" s="14" t="n">
        <v>0</v>
      </c>
      <c r="J25" s="14">
        <f>SUM(D25:H25)-I25</f>
        <v/>
      </c>
      <c r="K25" s="14">
        <f>K24+J25</f>
        <v/>
      </c>
      <c r="L25" s="14">
        <f>L24*(1+Assumptions!$B$7)</f>
        <v/>
      </c>
      <c r="M25" s="14">
        <f>K25-L25</f>
        <v/>
      </c>
    </row>
    <row r="26">
      <c r="A26" s="10" t="n">
        <v>21</v>
      </c>
      <c r="B26" s="4">
        <f>CHOOSE(MOD(A26-1,7)+1,"Mon","Tue","Wed","Thu","Fri","Sat","Sun")</f>
        <v/>
      </c>
      <c r="C26" s="4" t="n"/>
      <c r="D26" s="14" t="n">
        <v>0</v>
      </c>
      <c r="E26" s="14" t="n">
        <v>0</v>
      </c>
      <c r="F26" s="14" t="n">
        <v>0</v>
      </c>
      <c r="G26" s="14" t="n">
        <v>0</v>
      </c>
      <c r="H26" s="15">
        <f>(Assumptions!$B$9*Assumptions!$B$10*Assumptions!$B$11*Assumptions!$B$25)-(Assumptions!$B$9*Assumptions!$B$12*IF(A26&gt;=20,0,1))</f>
        <v/>
      </c>
      <c r="I26" s="14" t="n">
        <v>0</v>
      </c>
      <c r="J26" s="14">
        <f>SUM(D26:H26)-I26</f>
        <v/>
      </c>
      <c r="K26" s="14">
        <f>K25+J26</f>
        <v/>
      </c>
      <c r="L26" s="14">
        <f>L25*(1+Assumptions!$B$7)</f>
        <v/>
      </c>
      <c r="M26" s="14">
        <f>K26-L26</f>
        <v/>
      </c>
    </row>
    <row r="27">
      <c r="A27" s="10" t="n">
        <v>22</v>
      </c>
      <c r="B27" s="4">
        <f>CHOOSE(MOD(A27-1,7)+1,"Mon","Tue","Wed","Thu","Fri","Sat","Sun")</f>
        <v/>
      </c>
      <c r="C27" s="4" t="n"/>
      <c r="D27" s="14" t="n">
        <v>0</v>
      </c>
      <c r="E27" s="14" t="n">
        <v>0</v>
      </c>
      <c r="F27" s="14" t="n">
        <v>0</v>
      </c>
      <c r="G27" s="14" t="n">
        <v>0</v>
      </c>
      <c r="H27" s="15">
        <f>(Assumptions!$B$9*Assumptions!$B$10*Assumptions!$B$11*Assumptions!$B$25)-(Assumptions!$B$9*Assumptions!$B$12*IF(A27&gt;=20,0,1))</f>
        <v/>
      </c>
      <c r="I27" s="14" t="n">
        <v>0</v>
      </c>
      <c r="J27" s="14">
        <f>SUM(D27:H27)-I27</f>
        <v/>
      </c>
      <c r="K27" s="14">
        <f>K26+J27</f>
        <v/>
      </c>
      <c r="L27" s="14">
        <f>L26*(1+Assumptions!$B$7)</f>
        <v/>
      </c>
      <c r="M27" s="14">
        <f>K27-L27</f>
        <v/>
      </c>
    </row>
    <row r="28">
      <c r="A28" s="10" t="n">
        <v>23</v>
      </c>
      <c r="B28" s="4">
        <f>CHOOSE(MOD(A28-1,7)+1,"Mon","Tue","Wed","Thu","Fri","Sat","Sun")</f>
        <v/>
      </c>
      <c r="C28" s="4" t="n"/>
      <c r="D28" s="14" t="n">
        <v>0</v>
      </c>
      <c r="E28" s="14" t="n">
        <v>0</v>
      </c>
      <c r="F28" s="14" t="n">
        <v>0</v>
      </c>
      <c r="G28" s="14" t="n">
        <v>0</v>
      </c>
      <c r="H28" s="15">
        <f>(Assumptions!$B$9*Assumptions!$B$10*Assumptions!$B$11*Assumptions!$B$25)-(Assumptions!$B$9*Assumptions!$B$12*IF(A28&gt;=20,0,1))</f>
        <v/>
      </c>
      <c r="I28" s="14" t="n">
        <v>0</v>
      </c>
      <c r="J28" s="14">
        <f>SUM(D28:H28)-I28</f>
        <v/>
      </c>
      <c r="K28" s="14">
        <f>K27+J28</f>
        <v/>
      </c>
      <c r="L28" s="14">
        <f>L27*(1+Assumptions!$B$7)</f>
        <v/>
      </c>
      <c r="M28" s="14">
        <f>K28-L28</f>
        <v/>
      </c>
    </row>
    <row r="29">
      <c r="A29" s="10" t="n">
        <v>24</v>
      </c>
      <c r="B29" s="4">
        <f>CHOOSE(MOD(A29-1,7)+1,"Mon","Tue","Wed","Thu","Fri","Sat","Sun")</f>
        <v/>
      </c>
      <c r="C29" s="4" t="n"/>
      <c r="D29" s="14" t="n">
        <v>0</v>
      </c>
      <c r="E29" s="14" t="n">
        <v>0</v>
      </c>
      <c r="F29" s="14" t="n">
        <v>0</v>
      </c>
      <c r="G29" s="14" t="n">
        <v>0</v>
      </c>
      <c r="H29" s="15">
        <f>(Assumptions!$B$9*Assumptions!$B$10*Assumptions!$B$11*Assumptions!$B$25)-(Assumptions!$B$9*Assumptions!$B$12*IF(A29&gt;=20,0,1))</f>
        <v/>
      </c>
      <c r="I29" s="14" t="n">
        <v>0</v>
      </c>
      <c r="J29" s="14">
        <f>SUM(D29:H29)-I29</f>
        <v/>
      </c>
      <c r="K29" s="14">
        <f>K28+J29</f>
        <v/>
      </c>
      <c r="L29" s="14">
        <f>L28*(1+Assumptions!$B$7)</f>
        <v/>
      </c>
      <c r="M29" s="14">
        <f>K29-L29</f>
        <v/>
      </c>
    </row>
    <row r="30">
      <c r="A30" s="10" t="n">
        <v>25</v>
      </c>
      <c r="B30" s="4">
        <f>CHOOSE(MOD(A30-1,7)+1,"Mon","Tue","Wed","Thu","Fri","Sat","Sun")</f>
        <v/>
      </c>
      <c r="C30" s="4" t="n"/>
      <c r="D30" s="14" t="n">
        <v>0</v>
      </c>
      <c r="E30" s="14" t="n">
        <v>0</v>
      </c>
      <c r="F30" s="14" t="n">
        <v>0</v>
      </c>
      <c r="G30" s="14" t="n">
        <v>0</v>
      </c>
      <c r="H30" s="15">
        <f>(Assumptions!$B$9*Assumptions!$B$10*Assumptions!$B$11*Assumptions!$B$25)-(Assumptions!$B$9*Assumptions!$B$12*IF(A30&gt;=20,0,1))</f>
        <v/>
      </c>
      <c r="I30" s="14" t="n">
        <v>0</v>
      </c>
      <c r="J30" s="14">
        <f>SUM(D30:H30)-I30</f>
        <v/>
      </c>
      <c r="K30" s="14">
        <f>K29+J30</f>
        <v/>
      </c>
      <c r="L30" s="14">
        <f>L29*(1+Assumptions!$B$7)</f>
        <v/>
      </c>
      <c r="M30" s="14">
        <f>K30-L30</f>
        <v/>
      </c>
    </row>
    <row r="31">
      <c r="A31" s="10" t="n">
        <v>26</v>
      </c>
      <c r="B31" s="4">
        <f>CHOOSE(MOD(A31-1,7)+1,"Mon","Tue","Wed","Thu","Fri","Sat","Sun")</f>
        <v/>
      </c>
      <c r="C31" s="4" t="n"/>
      <c r="D31" s="14" t="n">
        <v>0</v>
      </c>
      <c r="E31" s="14" t="n">
        <v>0</v>
      </c>
      <c r="F31" s="14" t="n">
        <v>0</v>
      </c>
      <c r="G31" s="14" t="n">
        <v>0</v>
      </c>
      <c r="H31" s="15">
        <f>(Assumptions!$B$9*Assumptions!$B$10*Assumptions!$B$11*Assumptions!$B$25)-(Assumptions!$B$9*Assumptions!$B$12*IF(A31&gt;=20,0,1))</f>
        <v/>
      </c>
      <c r="I31" s="14" t="n">
        <v>0</v>
      </c>
      <c r="J31" s="14">
        <f>SUM(D31:H31)-I31</f>
        <v/>
      </c>
      <c r="K31" s="14">
        <f>K30+J31</f>
        <v/>
      </c>
      <c r="L31" s="14">
        <f>L30*(1+Assumptions!$B$7)</f>
        <v/>
      </c>
      <c r="M31" s="14">
        <f>K31-L31</f>
        <v/>
      </c>
    </row>
    <row r="32">
      <c r="A32" s="10" t="n">
        <v>27</v>
      </c>
      <c r="B32" s="4">
        <f>CHOOSE(MOD(A32-1,7)+1,"Mon","Tue","Wed","Thu","Fri","Sat","Sun")</f>
        <v/>
      </c>
      <c r="C32" s="4" t="n"/>
      <c r="D32" s="14" t="n">
        <v>0</v>
      </c>
      <c r="E32" s="14" t="n">
        <v>0</v>
      </c>
      <c r="F32" s="14" t="n">
        <v>0</v>
      </c>
      <c r="G32" s="14" t="n">
        <v>0</v>
      </c>
      <c r="H32" s="15">
        <f>(Assumptions!$B$9*Assumptions!$B$10*Assumptions!$B$11*Assumptions!$B$25)-(Assumptions!$B$9*Assumptions!$B$12*IF(A32&gt;=20,0,1))</f>
        <v/>
      </c>
      <c r="I32" s="14" t="n">
        <v>0</v>
      </c>
      <c r="J32" s="14">
        <f>SUM(D32:H32)-I32</f>
        <v/>
      </c>
      <c r="K32" s="14">
        <f>K31+J32</f>
        <v/>
      </c>
      <c r="L32" s="14">
        <f>L31*(1+Assumptions!$B$7)</f>
        <v/>
      </c>
      <c r="M32" s="14">
        <f>K32-L32</f>
        <v/>
      </c>
    </row>
    <row r="33">
      <c r="A33" s="10" t="n">
        <v>28</v>
      </c>
      <c r="B33" s="4">
        <f>CHOOSE(MOD(A33-1,7)+1,"Mon","Tue","Wed","Thu","Fri","Sat","Sun")</f>
        <v/>
      </c>
      <c r="C33" s="4" t="n"/>
      <c r="D33" s="14" t="n">
        <v>0</v>
      </c>
      <c r="E33" s="14" t="n">
        <v>0</v>
      </c>
      <c r="F33" s="14" t="n">
        <v>0</v>
      </c>
      <c r="G33" s="14" t="n">
        <v>0</v>
      </c>
      <c r="H33" s="15">
        <f>(Assumptions!$B$9*Assumptions!$B$10*Assumptions!$B$11*Assumptions!$B$25)-(Assumptions!$B$9*Assumptions!$B$12*IF(A33&gt;=20,0,1))</f>
        <v/>
      </c>
      <c r="I33" s="14" t="n">
        <v>0</v>
      </c>
      <c r="J33" s="14">
        <f>SUM(D33:H33)-I33</f>
        <v/>
      </c>
      <c r="K33" s="14">
        <f>K32+J33</f>
        <v/>
      </c>
      <c r="L33" s="14">
        <f>L32*(1+Assumptions!$B$7)</f>
        <v/>
      </c>
      <c r="M33" s="14">
        <f>K33-L33</f>
        <v/>
      </c>
    </row>
    <row r="34">
      <c r="A34" s="10" t="n">
        <v>29</v>
      </c>
      <c r="B34" s="4">
        <f>CHOOSE(MOD(A34-1,7)+1,"Mon","Tue","Wed","Thu","Fri","Sat","Sun")</f>
        <v/>
      </c>
      <c r="C34" s="4" t="n"/>
      <c r="D34" s="14" t="n">
        <v>0</v>
      </c>
      <c r="E34" s="14" t="n">
        <v>0</v>
      </c>
      <c r="F34" s="14" t="n">
        <v>0</v>
      </c>
      <c r="G34" s="14" t="n">
        <v>0</v>
      </c>
      <c r="H34" s="15">
        <f>(Assumptions!$B$9*Assumptions!$B$10*Assumptions!$B$11*Assumptions!$B$25)-(Assumptions!$B$9*Assumptions!$B$12*IF(A34&gt;=20,0,1))</f>
        <v/>
      </c>
      <c r="I34" s="14" t="n">
        <v>0</v>
      </c>
      <c r="J34" s="14">
        <f>SUM(D34:H34)-I34</f>
        <v/>
      </c>
      <c r="K34" s="14">
        <f>K33+J34</f>
        <v/>
      </c>
      <c r="L34" s="14">
        <f>L33*(1+Assumptions!$B$7)</f>
        <v/>
      </c>
      <c r="M34" s="14">
        <f>K34-L34</f>
        <v/>
      </c>
    </row>
    <row r="35">
      <c r="A35" s="10" t="n">
        <v>30</v>
      </c>
      <c r="B35" s="4">
        <f>CHOOSE(MOD(A35-1,7)+1,"Mon","Tue","Wed","Thu","Fri","Sat","Sun")</f>
        <v/>
      </c>
      <c r="C35" s="4" t="n"/>
      <c r="D35" s="14" t="n">
        <v>0</v>
      </c>
      <c r="E35" s="14" t="n">
        <v>0</v>
      </c>
      <c r="F35" s="14" t="n">
        <v>0</v>
      </c>
      <c r="G35" s="14" t="n">
        <v>0</v>
      </c>
      <c r="H35" s="15">
        <f>(Assumptions!$B$9*Assumptions!$B$10*Assumptions!$B$11*Assumptions!$B$25)-(Assumptions!$B$9*Assumptions!$B$12*IF(A35&gt;=20,0,1))</f>
        <v/>
      </c>
      <c r="I35" s="14" t="n">
        <v>0</v>
      </c>
      <c r="J35" s="14">
        <f>SUM(D35:H35)-I35</f>
        <v/>
      </c>
      <c r="K35" s="14">
        <f>K34+J35</f>
        <v/>
      </c>
      <c r="L35" s="14">
        <f>L34*(1+Assumptions!$B$7)</f>
        <v/>
      </c>
      <c r="M35" s="14">
        <f>K35-L35</f>
        <v/>
      </c>
    </row>
    <row r="37">
      <c r="A37" s="3" t="inlineStr">
        <is>
          <t>RUN SUMMARY</t>
        </is>
      </c>
    </row>
    <row r="38">
      <c r="A38" s="16" t="inlineStr">
        <is>
          <t>Total spot sales</t>
        </is>
      </c>
      <c r="B38" s="14">
        <f>SUM(D6:D35)</f>
        <v/>
      </c>
    </row>
    <row r="39">
      <c r="A39" s="16" t="inlineStr">
        <is>
          <t>Total negotiated (rep)</t>
        </is>
      </c>
      <c r="B39" s="14">
        <f>SUM(E6:E35)</f>
        <v/>
      </c>
    </row>
    <row r="40">
      <c r="A40" s="16" t="inlineStr">
        <is>
          <t>Total timed (info)</t>
        </is>
      </c>
      <c r="B40" s="14">
        <f>SUM(F6:F35)</f>
        <v/>
      </c>
    </row>
    <row r="41">
      <c r="A41" s="16" t="inlineStr">
        <is>
          <t>Total repair &amp; flip</t>
        </is>
      </c>
      <c r="B41" s="14">
        <f>SUM(G6:G35)</f>
        <v/>
      </c>
    </row>
    <row r="42">
      <c r="A42" s="16" t="inlineStr">
        <is>
          <t>Total eggs &amp; favors</t>
        </is>
      </c>
      <c r="B42" s="14">
        <f>SUM(H6:H35)</f>
        <v/>
      </c>
    </row>
    <row r="43">
      <c r="A43" s="16" t="inlineStr">
        <is>
          <t>Total costs</t>
        </is>
      </c>
      <c r="B43" s="14">
        <f>SUM(I6:I35)</f>
        <v/>
      </c>
    </row>
    <row r="44">
      <c r="A44" s="16" t="inlineStr">
        <is>
          <t>End cash</t>
        </is>
      </c>
      <c r="B44" s="14">
        <f>K35</f>
        <v/>
      </c>
    </row>
    <row r="45">
      <c r="A45" s="16" t="inlineStr">
        <is>
          <t>End debt</t>
        </is>
      </c>
      <c r="B45" s="14">
        <f>L35</f>
        <v/>
      </c>
    </row>
    <row r="46">
      <c r="A46" s="16" t="inlineStr">
        <is>
          <t>Net worth delta</t>
        </is>
      </c>
      <c r="B46" s="14">
        <f>M35-(Assumptions!$B$5-Assumptions!$B$6)</f>
        <v/>
      </c>
    </row>
    <row r="47">
      <c r="A47" s="16" t="inlineStr">
        <is>
          <t>Top income source</t>
        </is>
      </c>
      <c r="B47" s="4">
        <f>INDEX({"Spot sales";"Negotiated (rep)";"Timed (info)";"Repair &amp; flip";"Eggs &amp; favors"},MATCH(MAX(B38:B42),B38:B42,0))</f>
        <v/>
      </c>
    </row>
  </sheetData>
  <mergeCells count="1"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4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MECHANIC — 30-DAY CASH FLOW</t>
        </is>
      </c>
    </row>
    <row r="2">
      <c r="A2" s="2" t="inlineStr">
        <is>
          <t>Farms lightly (hay only); income is repair contracts and a salvage restoration flip. The baler fix on day 4 opens the co-op repair pipeline. Wins on skill, not acreage.</t>
        </is>
      </c>
    </row>
    <row r="3">
      <c r="A3" s="13" t="inlineStr">
        <is>
          <t>Income category gates: Negotiated = reputation-locked · Timed = info-locked · Repair &amp; flip = wrench-locked</t>
        </is>
      </c>
    </row>
    <row r="5">
      <c r="A5" s="3" t="inlineStr">
        <is>
          <t>Day</t>
        </is>
      </c>
      <c r="B5" s="3" t="inlineStr">
        <is>
          <t>Weekday</t>
        </is>
      </c>
      <c r="C5" s="3" t="inlineStr">
        <is>
          <t>Event</t>
        </is>
      </c>
      <c r="D5" s="3" t="inlineStr">
        <is>
          <t>Spot sales</t>
        </is>
      </c>
      <c r="E5" s="3" t="inlineStr">
        <is>
          <t>Negotiated (rep)</t>
        </is>
      </c>
      <c r="F5" s="3" t="inlineStr">
        <is>
          <t>Timed (info)</t>
        </is>
      </c>
      <c r="G5" s="3" t="inlineStr">
        <is>
          <t>Repair &amp; flip</t>
        </is>
      </c>
      <c r="H5" s="3" t="inlineStr">
        <is>
          <t>Eggs &amp; favors</t>
        </is>
      </c>
      <c r="I5" s="3" t="inlineStr">
        <is>
          <t>Costs</t>
        </is>
      </c>
      <c r="J5" s="3" t="inlineStr">
        <is>
          <t>Net</t>
        </is>
      </c>
      <c r="K5" s="3" t="inlineStr">
        <is>
          <t>Cash</t>
        </is>
      </c>
      <c r="L5" s="3" t="inlineStr">
        <is>
          <t>Debt</t>
        </is>
      </c>
      <c r="M5" s="3" t="inlineStr">
        <is>
          <t>Net worth</t>
        </is>
      </c>
    </row>
    <row r="6">
      <c r="A6" s="10" t="n">
        <v>1</v>
      </c>
      <c r="B6" s="4">
        <f>CHOOSE(MOD(A6-1,7)+1,"Mon","Tue","Wed","Thu","Fri","Sat","Sun")</f>
        <v/>
      </c>
      <c r="C6" s="4" t="n"/>
      <c r="D6" s="14" t="n">
        <v>0</v>
      </c>
      <c r="E6" s="14" t="n">
        <v>0</v>
      </c>
      <c r="F6" s="14" t="n">
        <v>0</v>
      </c>
      <c r="G6" s="14" t="n">
        <v>0</v>
      </c>
      <c r="H6" s="15">
        <f>(Assumptions!$B$9*Assumptions!$B$10*Assumptions!$B$11)-(Assumptions!$B$9*Assumptions!$B$12)</f>
        <v/>
      </c>
      <c r="I6" s="14" t="n">
        <v>0</v>
      </c>
      <c r="J6" s="14">
        <f>SUM(D6:H6)-I6</f>
        <v/>
      </c>
      <c r="K6" s="14">
        <f>Assumptions!$B$5+J6</f>
        <v/>
      </c>
      <c r="L6" s="14">
        <f>Assumptions!$B$6*(1+Assumptions!$B$7)</f>
        <v/>
      </c>
      <c r="M6" s="14">
        <f>K6-L6</f>
        <v/>
      </c>
    </row>
    <row r="7">
      <c r="A7" s="10" t="n">
        <v>2</v>
      </c>
      <c r="B7" s="4">
        <f>CHOOSE(MOD(A7-1,7)+1,"Mon","Tue","Wed","Thu","Fri","Sat","Sun")</f>
        <v/>
      </c>
      <c r="C7" s="4" t="inlineStr">
        <is>
          <t>Plant hay — East field</t>
        </is>
      </c>
      <c r="D7" s="14" t="n">
        <v>0</v>
      </c>
      <c r="E7" s="14" t="n">
        <v>0</v>
      </c>
      <c r="F7" s="14" t="n">
        <v>0</v>
      </c>
      <c r="G7" s="14" t="n">
        <v>0</v>
      </c>
      <c r="H7" s="15">
        <f>(Assumptions!$B$9*Assumptions!$B$10*Assumptions!$B$11)-(Assumptions!$B$9*Assumptions!$B$12)</f>
        <v/>
      </c>
      <c r="I7" s="15">
        <f>Assumptions!$B$17+Assumptions!$B$8</f>
        <v/>
      </c>
      <c r="J7" s="14">
        <f>SUM(D7:H7)-I7</f>
        <v/>
      </c>
      <c r="K7" s="14">
        <f>K6+J7</f>
        <v/>
      </c>
      <c r="L7" s="14">
        <f>L6*(1+Assumptions!$B$7)</f>
        <v/>
      </c>
      <c r="M7" s="14">
        <f>K7-L7</f>
        <v/>
      </c>
    </row>
    <row r="8">
      <c r="A8" s="10" t="n">
        <v>3</v>
      </c>
      <c r="B8" s="4">
        <f>CHOOSE(MOD(A8-1,7)+1,"Mon","Tue","Wed","Thu","Fri","Sat","Sun")</f>
        <v/>
      </c>
      <c r="C8" s="4" t="n"/>
      <c r="D8" s="14" t="n">
        <v>0</v>
      </c>
      <c r="E8" s="14" t="n">
        <v>0</v>
      </c>
      <c r="F8" s="14" t="n">
        <v>0</v>
      </c>
      <c r="G8" s="14" t="n">
        <v>0</v>
      </c>
      <c r="H8" s="15">
        <f>(Assumptions!$B$9*Assumptions!$B$10*Assumptions!$B$11)-(Assumptions!$B$9*Assumptions!$B$12)</f>
        <v/>
      </c>
      <c r="I8" s="14" t="n">
        <v>0</v>
      </c>
      <c r="J8" s="14">
        <f>SUM(D8:H8)-I8</f>
        <v/>
      </c>
      <c r="K8" s="14">
        <f>K7+J8</f>
        <v/>
      </c>
      <c r="L8" s="14">
        <f>L7*(1+Assumptions!$B$7)</f>
        <v/>
      </c>
      <c r="M8" s="14">
        <f>K8-L8</f>
        <v/>
      </c>
    </row>
    <row r="9">
      <c r="A9" s="10" t="n">
        <v>4</v>
      </c>
      <c r="B9" s="4">
        <f>CHOOSE(MOD(A9-1,7)+1,"Mon","Tue","Wed","Thu","Fri","Sat","Sun")</f>
        <v/>
      </c>
      <c r="C9" s="4" t="inlineStr">
        <is>
          <t>Fix Hollis's baler (check) — co-op repair contract unlocks</t>
        </is>
      </c>
      <c r="D9" s="14" t="n">
        <v>0</v>
      </c>
      <c r="E9" s="14" t="n">
        <v>0</v>
      </c>
      <c r="F9" s="14" t="n">
        <v>0</v>
      </c>
      <c r="G9" s="14" t="n">
        <v>0</v>
      </c>
      <c r="H9" s="15">
        <f>(Assumptions!$B$9*Assumptions!$B$10*Assumptions!$B$11)-(Assumptions!$B$9*Assumptions!$B$12)</f>
        <v/>
      </c>
      <c r="I9" s="14" t="n">
        <v>0</v>
      </c>
      <c r="J9" s="14">
        <f>SUM(D9:H9)-I9</f>
        <v/>
      </c>
      <c r="K9" s="14">
        <f>K8+J9</f>
        <v/>
      </c>
      <c r="L9" s="14">
        <f>L8*(1+Assumptions!$B$7)</f>
        <v/>
      </c>
      <c r="M9" s="14">
        <f>K9-L9</f>
        <v/>
      </c>
    </row>
    <row r="10">
      <c r="A10" s="10" t="n">
        <v>5</v>
      </c>
      <c r="B10" s="4">
        <f>CHOOSE(MOD(A10-1,7)+1,"Mon","Tue","Wed","Thu","Fri","Sat","Sun")</f>
        <v/>
      </c>
      <c r="C10" s="4" t="n"/>
      <c r="D10" s="14" t="n">
        <v>0</v>
      </c>
      <c r="E10" s="14" t="n">
        <v>0</v>
      </c>
      <c r="F10" s="14" t="n">
        <v>0</v>
      </c>
      <c r="G10" s="14" t="n">
        <v>0</v>
      </c>
      <c r="H10" s="15">
        <f>(Assumptions!$B$9*Assumptions!$B$10*Assumptions!$B$11)-(Assumptions!$B$9*Assumptions!$B$12)</f>
        <v/>
      </c>
      <c r="I10" s="14" t="n">
        <v>0</v>
      </c>
      <c r="J10" s="14">
        <f>SUM(D10:H10)-I10</f>
        <v/>
      </c>
      <c r="K10" s="14">
        <f>K9+J10</f>
        <v/>
      </c>
      <c r="L10" s="14">
        <f>L9*(1+Assumptions!$B$7)</f>
        <v/>
      </c>
      <c r="M10" s="14">
        <f>K10-L10</f>
        <v/>
      </c>
    </row>
    <row r="11">
      <c r="A11" s="10" t="n">
        <v>6</v>
      </c>
      <c r="B11" s="4">
        <f>CHOOSE(MOD(A11-1,7)+1,"Mon","Tue","Wed","Thu","Fri","Sat","Sun")</f>
        <v/>
      </c>
      <c r="C11" s="4" t="inlineStr">
        <is>
          <t>Neighbor repair job</t>
        </is>
      </c>
      <c r="D11" s="14" t="n">
        <v>0</v>
      </c>
      <c r="E11" s="14" t="n">
        <v>0</v>
      </c>
      <c r="F11" s="14" t="n">
        <v>0</v>
      </c>
      <c r="G11" s="15">
        <f>Assumptions!$B$28</f>
        <v/>
      </c>
      <c r="H11" s="15">
        <f>(Assumptions!$B$9*Assumptions!$B$10*Assumptions!$B$11)-(Assumptions!$B$9*Assumptions!$B$12)</f>
        <v/>
      </c>
      <c r="I11" s="15">
        <f>Assumptions!$B$8</f>
        <v/>
      </c>
      <c r="J11" s="14">
        <f>SUM(D11:H11)-I11</f>
        <v/>
      </c>
      <c r="K11" s="14">
        <f>K10+J11</f>
        <v/>
      </c>
      <c r="L11" s="14">
        <f>L10*(1+Assumptions!$B$7)</f>
        <v/>
      </c>
      <c r="M11" s="14">
        <f>K11-L11</f>
        <v/>
      </c>
    </row>
    <row r="12">
      <c r="A12" s="10" t="n">
        <v>7</v>
      </c>
      <c r="B12" s="4">
        <f>CHOOSE(MOD(A12-1,7)+1,"Mon","Tue","Wed","Thu","Fri","Sat","Sun")</f>
        <v/>
      </c>
      <c r="C12" s="4" t="inlineStr">
        <is>
          <t>Co-op repair job 1/3</t>
        </is>
      </c>
      <c r="D12" s="14" t="n">
        <v>0</v>
      </c>
      <c r="E12" s="14" t="n">
        <v>0</v>
      </c>
      <c r="F12" s="14" t="n">
        <v>0</v>
      </c>
      <c r="G12" s="15">
        <f>Assumptions!$B$26</f>
        <v/>
      </c>
      <c r="H12" s="15">
        <f>(Assumptions!$B$9*Assumptions!$B$10*Assumptions!$B$11)-(Assumptions!$B$9*Assumptions!$B$12)</f>
        <v/>
      </c>
      <c r="I12" s="15">
        <f>Assumptions!$B$27+Assumptions!$B$8</f>
        <v/>
      </c>
      <c r="J12" s="14">
        <f>SUM(D12:H12)-I12</f>
        <v/>
      </c>
      <c r="K12" s="14">
        <f>K11+J12</f>
        <v/>
      </c>
      <c r="L12" s="14">
        <f>L11*(1+Assumptions!$B$7)</f>
        <v/>
      </c>
      <c r="M12" s="14">
        <f>K12-L12</f>
        <v/>
      </c>
    </row>
    <row r="13">
      <c r="A13" s="10" t="n">
        <v>8</v>
      </c>
      <c r="B13" s="4">
        <f>CHOOSE(MOD(A13-1,7)+1,"Mon","Tue","Wed","Thu","Fri","Sat","Sun")</f>
        <v/>
      </c>
      <c r="C13" s="4" t="inlineStr">
        <is>
          <t>Hay cut 1 — East</t>
        </is>
      </c>
      <c r="D13" s="15">
        <f>Assumptions!$G$17*Assumptions!$H$17</f>
        <v/>
      </c>
      <c r="E13" s="14" t="n">
        <v>0</v>
      </c>
      <c r="F13" s="14" t="n">
        <v>0</v>
      </c>
      <c r="G13" s="14" t="n">
        <v>0</v>
      </c>
      <c r="H13" s="15">
        <f>(Assumptions!$B$9*Assumptions!$B$10*Assumptions!$B$11)-(Assumptions!$B$9*Assumptions!$B$12)</f>
        <v/>
      </c>
      <c r="I13" s="15">
        <f>Assumptions!$E$17</f>
        <v/>
      </c>
      <c r="J13" s="14">
        <f>SUM(D13:H13)-I13</f>
        <v/>
      </c>
      <c r="K13" s="14">
        <f>K12+J13</f>
        <v/>
      </c>
      <c r="L13" s="14">
        <f>L12*(1+Assumptions!$B$7)</f>
        <v/>
      </c>
      <c r="M13" s="14">
        <f>K13-L13</f>
        <v/>
      </c>
    </row>
    <row r="14">
      <c r="A14" s="10" t="n">
        <v>9</v>
      </c>
      <c r="B14" s="4">
        <f>CHOOSE(MOD(A14-1,7)+1,"Mon","Tue","Wed","Thu","Fri","Sat","Sun")</f>
        <v/>
      </c>
      <c r="C14" s="4" t="inlineStr">
        <is>
          <t>Co-op repair job 2/3</t>
        </is>
      </c>
      <c r="D14" s="14" t="n">
        <v>0</v>
      </c>
      <c r="E14" s="14" t="n">
        <v>0</v>
      </c>
      <c r="F14" s="14" t="n">
        <v>0</v>
      </c>
      <c r="G14" s="15">
        <f>Assumptions!$B$26</f>
        <v/>
      </c>
      <c r="H14" s="15">
        <f>(Assumptions!$B$9*Assumptions!$B$10*Assumptions!$B$11)-(Assumptions!$B$9*Assumptions!$B$12)</f>
        <v/>
      </c>
      <c r="I14" s="15">
        <f>Assumptions!$B$27+Assumptions!$B$8</f>
        <v/>
      </c>
      <c r="J14" s="14">
        <f>SUM(D14:H14)-I14</f>
        <v/>
      </c>
      <c r="K14" s="14">
        <f>K13+J14</f>
        <v/>
      </c>
      <c r="L14" s="14">
        <f>L13*(1+Assumptions!$B$7)</f>
        <v/>
      </c>
      <c r="M14" s="14">
        <f>K14-L14</f>
        <v/>
      </c>
    </row>
    <row r="15">
      <c r="A15" s="10" t="n">
        <v>10</v>
      </c>
      <c r="B15" s="4">
        <f>CHOOSE(MOD(A15-1,7)+1,"Mon","Tue","Wed","Thu","Fri","Sat","Sun")</f>
        <v/>
      </c>
      <c r="C15" s="4" t="inlineStr">
        <is>
          <t>Buy salvage baler at Weaver's yard</t>
        </is>
      </c>
      <c r="D15" s="14" t="n">
        <v>0</v>
      </c>
      <c r="E15" s="14" t="n">
        <v>0</v>
      </c>
      <c r="F15" s="14" t="n">
        <v>0</v>
      </c>
      <c r="G15" s="14" t="n">
        <v>0</v>
      </c>
      <c r="H15" s="15">
        <f>(Assumptions!$B$9*Assumptions!$B$10*Assumptions!$B$11)-(Assumptions!$B$9*Assumptions!$B$12)</f>
        <v/>
      </c>
      <c r="I15" s="15">
        <f>Assumptions!$B$29+Assumptions!$B$8</f>
        <v/>
      </c>
      <c r="J15" s="14">
        <f>SUM(D15:H15)-I15</f>
        <v/>
      </c>
      <c r="K15" s="14">
        <f>K14+J15</f>
        <v/>
      </c>
      <c r="L15" s="14">
        <f>L14*(1+Assumptions!$B$7)</f>
        <v/>
      </c>
      <c r="M15" s="14">
        <f>K15-L15</f>
        <v/>
      </c>
    </row>
    <row r="16">
      <c r="A16" s="10" t="n">
        <v>11</v>
      </c>
      <c r="B16" s="4">
        <f>CHOOSE(MOD(A16-1,7)+1,"Mon","Tue","Wed","Thu","Fri","Sat","Sun")</f>
        <v/>
      </c>
      <c r="C16" s="4" t="inlineStr">
        <is>
          <t>Co-op repair job 3/3</t>
        </is>
      </c>
      <c r="D16" s="14" t="n">
        <v>0</v>
      </c>
      <c r="E16" s="14" t="n">
        <v>0</v>
      </c>
      <c r="F16" s="14" t="n">
        <v>0</v>
      </c>
      <c r="G16" s="15">
        <f>Assumptions!$B$26</f>
        <v/>
      </c>
      <c r="H16" s="15">
        <f>(Assumptions!$B$9*Assumptions!$B$10*Assumptions!$B$11)-(Assumptions!$B$9*Assumptions!$B$12)</f>
        <v/>
      </c>
      <c r="I16" s="15">
        <f>Assumptions!$B$27+Assumptions!$B$8</f>
        <v/>
      </c>
      <c r="J16" s="14">
        <f>SUM(D16:H16)-I16</f>
        <v/>
      </c>
      <c r="K16" s="14">
        <f>K15+J16</f>
        <v/>
      </c>
      <c r="L16" s="14">
        <f>L15*(1+Assumptions!$B$7)</f>
        <v/>
      </c>
      <c r="M16" s="14">
        <f>K16-L16</f>
        <v/>
      </c>
    </row>
    <row r="17">
      <c r="A17" s="10" t="n">
        <v>12</v>
      </c>
      <c r="B17" s="4">
        <f>CHOOSE(MOD(A17-1,7)+1,"Mon","Tue","Wed","Thu","Fri","Sat","Sun")</f>
        <v/>
      </c>
      <c r="C17" s="4" t="inlineStr">
        <is>
          <t>Restoration parts for the flip</t>
        </is>
      </c>
      <c r="D17" s="14" t="n">
        <v>0</v>
      </c>
      <c r="E17" s="14" t="n">
        <v>0</v>
      </c>
      <c r="F17" s="14" t="n">
        <v>0</v>
      </c>
      <c r="G17" s="14" t="n">
        <v>0</v>
      </c>
      <c r="H17" s="15">
        <f>(Assumptions!$B$9*Assumptions!$B$10*Assumptions!$B$11)-(Assumptions!$B$9*Assumptions!$B$12)</f>
        <v/>
      </c>
      <c r="I17" s="15">
        <f>Assumptions!$B$30</f>
        <v/>
      </c>
      <c r="J17" s="14">
        <f>SUM(D17:H17)-I17</f>
        <v/>
      </c>
      <c r="K17" s="14">
        <f>K16+J17</f>
        <v/>
      </c>
      <c r="L17" s="14">
        <f>L16*(1+Assumptions!$B$7)</f>
        <v/>
      </c>
      <c r="M17" s="14">
        <f>K17-L17</f>
        <v/>
      </c>
    </row>
    <row r="18">
      <c r="A18" s="10" t="n">
        <v>13</v>
      </c>
      <c r="B18" s="4">
        <f>CHOOSE(MOD(A18-1,7)+1,"Mon","Tue","Wed","Thu","Fri","Sat","Sun")</f>
        <v/>
      </c>
      <c r="C18" s="4" t="n"/>
      <c r="D18" s="14" t="n">
        <v>0</v>
      </c>
      <c r="E18" s="14" t="n">
        <v>0</v>
      </c>
      <c r="F18" s="14" t="n">
        <v>0</v>
      </c>
      <c r="G18" s="14" t="n">
        <v>0</v>
      </c>
      <c r="H18" s="15">
        <f>(Assumptions!$B$9*Assumptions!$B$10*Assumptions!$B$11)-(Assumptions!$B$9*Assumptions!$B$12)</f>
        <v/>
      </c>
      <c r="I18" s="14" t="n">
        <v>0</v>
      </c>
      <c r="J18" s="14">
        <f>SUM(D18:H18)-I18</f>
        <v/>
      </c>
      <c r="K18" s="14">
        <f>K17+J18</f>
        <v/>
      </c>
      <c r="L18" s="14">
        <f>L17*(1+Assumptions!$B$7)</f>
        <v/>
      </c>
      <c r="M18" s="14">
        <f>K18-L18</f>
        <v/>
      </c>
    </row>
    <row r="19">
      <c r="A19" s="10" t="n">
        <v>14</v>
      </c>
      <c r="B19" s="4">
        <f>CHOOSE(MOD(A19-1,7)+1,"Mon","Tue","Wed","Thu","Fri","Sat","Sun")</f>
        <v/>
      </c>
      <c r="C19" s="4" t="n"/>
      <c r="D19" s="14" t="n">
        <v>0</v>
      </c>
      <c r="E19" s="14" t="n">
        <v>0</v>
      </c>
      <c r="F19" s="14" t="n">
        <v>0</v>
      </c>
      <c r="G19" s="14" t="n">
        <v>0</v>
      </c>
      <c r="H19" s="15">
        <f>(Assumptions!$B$9*Assumptions!$B$10*Assumptions!$B$11)-(Assumptions!$B$9*Assumptions!$B$12)</f>
        <v/>
      </c>
      <c r="I19" s="14" t="n">
        <v>0</v>
      </c>
      <c r="J19" s="14">
        <f>SUM(D19:H19)-I19</f>
        <v/>
      </c>
      <c r="K19" s="14">
        <f>K18+J19</f>
        <v/>
      </c>
      <c r="L19" s="14">
        <f>L18*(1+Assumptions!$B$7)</f>
        <v/>
      </c>
      <c r="M19" s="14">
        <f>K19-L19</f>
        <v/>
      </c>
    </row>
    <row r="20">
      <c r="A20" s="10" t="n">
        <v>15</v>
      </c>
      <c r="B20" s="4">
        <f>CHOOSE(MOD(A20-1,7)+1,"Mon","Tue","Wed","Thu","Fri","Sat","Sun")</f>
        <v/>
      </c>
      <c r="C20" s="4" t="inlineStr">
        <is>
          <t>Hay cut 2 — East</t>
        </is>
      </c>
      <c r="D20" s="15">
        <f>Assumptions!$G$17*Assumptions!$H$17</f>
        <v/>
      </c>
      <c r="E20" s="14" t="n">
        <v>0</v>
      </c>
      <c r="F20" s="14" t="n">
        <v>0</v>
      </c>
      <c r="G20" s="14" t="n">
        <v>0</v>
      </c>
      <c r="H20" s="15">
        <f>(Assumptions!$B$9*Assumptions!$B$10*Assumptions!$B$11)-(Assumptions!$B$9*Assumptions!$B$12)</f>
        <v/>
      </c>
      <c r="I20" s="15">
        <f>Assumptions!$E$17</f>
        <v/>
      </c>
      <c r="J20" s="14">
        <f>SUM(D20:H20)-I20</f>
        <v/>
      </c>
      <c r="K20" s="14">
        <f>K19+J20</f>
        <v/>
      </c>
      <c r="L20" s="14">
        <f>L19*(1+Assumptions!$B$7)</f>
        <v/>
      </c>
      <c r="M20" s="14">
        <f>K20-L20</f>
        <v/>
      </c>
    </row>
    <row r="21">
      <c r="A21" s="10" t="n">
        <v>16</v>
      </c>
      <c r="B21" s="4">
        <f>CHOOSE(MOD(A21-1,7)+1,"Mon","Tue","Wed","Thu","Fri","Sat","Sun")</f>
        <v/>
      </c>
      <c r="C21" s="4" t="n"/>
      <c r="D21" s="14" t="n">
        <v>0</v>
      </c>
      <c r="E21" s="14" t="n">
        <v>0</v>
      </c>
      <c r="F21" s="14" t="n">
        <v>0</v>
      </c>
      <c r="G21" s="14" t="n">
        <v>0</v>
      </c>
      <c r="H21" s="15">
        <f>(Assumptions!$B$9*Assumptions!$B$10*Assumptions!$B$11)-(Assumptions!$B$9*Assumptions!$B$12)</f>
        <v/>
      </c>
      <c r="I21" s="14" t="n">
        <v>0</v>
      </c>
      <c r="J21" s="14">
        <f>SUM(D21:H21)-I21</f>
        <v/>
      </c>
      <c r="K21" s="14">
        <f>K20+J21</f>
        <v/>
      </c>
      <c r="L21" s="14">
        <f>L20*(1+Assumptions!$B$7)</f>
        <v/>
      </c>
      <c r="M21" s="14">
        <f>K21-L21</f>
        <v/>
      </c>
    </row>
    <row r="22">
      <c r="A22" s="10" t="n">
        <v>17</v>
      </c>
      <c r="B22" s="4">
        <f>CHOOSE(MOD(A22-1,7)+1,"Mon","Tue","Wed","Thu","Fri","Sat","Sun")</f>
        <v/>
      </c>
      <c r="C22" s="4" t="n"/>
      <c r="D22" s="14" t="n">
        <v>0</v>
      </c>
      <c r="E22" s="14" t="n">
        <v>0</v>
      </c>
      <c r="F22" s="14" t="n">
        <v>0</v>
      </c>
      <c r="G22" s="14" t="n">
        <v>0</v>
      </c>
      <c r="H22" s="15">
        <f>(Assumptions!$B$9*Assumptions!$B$10*Assumptions!$B$11)-(Assumptions!$B$9*Assumptions!$B$12)</f>
        <v/>
      </c>
      <c r="I22" s="14" t="n">
        <v>0</v>
      </c>
      <c r="J22" s="14">
        <f>SUM(D22:H22)-I22</f>
        <v/>
      </c>
      <c r="K22" s="14">
        <f>K21+J22</f>
        <v/>
      </c>
      <c r="L22" s="14">
        <f>L21*(1+Assumptions!$B$7)</f>
        <v/>
      </c>
      <c r="M22" s="14">
        <f>K22-L22</f>
        <v/>
      </c>
    </row>
    <row r="23">
      <c r="A23" s="10" t="n">
        <v>18</v>
      </c>
      <c r="B23" s="4">
        <f>CHOOSE(MOD(A23-1,7)+1,"Mon","Tue","Wed","Thu","Fri","Sat","Sun")</f>
        <v/>
      </c>
      <c r="C23" s="4" t="inlineStr">
        <is>
          <t>Neighbor repair job 2</t>
        </is>
      </c>
      <c r="D23" s="14" t="n">
        <v>0</v>
      </c>
      <c r="E23" s="14" t="n">
        <v>0</v>
      </c>
      <c r="F23" s="14" t="n">
        <v>0</v>
      </c>
      <c r="G23" s="15">
        <f>Assumptions!$B$28</f>
        <v/>
      </c>
      <c r="H23" s="15">
        <f>(Assumptions!$B$9*Assumptions!$B$10*Assumptions!$B$11)-(Assumptions!$B$9*Assumptions!$B$12)</f>
        <v/>
      </c>
      <c r="I23" s="15">
        <f>Assumptions!$B$8</f>
        <v/>
      </c>
      <c r="J23" s="14">
        <f>SUM(D23:H23)-I23</f>
        <v/>
      </c>
      <c r="K23" s="14">
        <f>K22+J23</f>
        <v/>
      </c>
      <c r="L23" s="14">
        <f>L22*(1+Assumptions!$B$7)</f>
        <v/>
      </c>
      <c r="M23" s="14">
        <f>K23-L23</f>
        <v/>
      </c>
    </row>
    <row r="24">
      <c r="A24" s="10" t="n">
        <v>19</v>
      </c>
      <c r="B24" s="4">
        <f>CHOOSE(MOD(A24-1,7)+1,"Mon","Tue","Wed","Thu","Fri","Sat","Sun")</f>
        <v/>
      </c>
      <c r="C24" s="4" t="n"/>
      <c r="D24" s="14" t="n">
        <v>0</v>
      </c>
      <c r="E24" s="14" t="n">
        <v>0</v>
      </c>
      <c r="F24" s="14" t="n">
        <v>0</v>
      </c>
      <c r="G24" s="14" t="n">
        <v>0</v>
      </c>
      <c r="H24" s="15">
        <f>(Assumptions!$B$9*Assumptions!$B$10*Assumptions!$B$11)-(Assumptions!$B$9*Assumptions!$B$12)</f>
        <v/>
      </c>
      <c r="I24" s="14" t="n">
        <v>0</v>
      </c>
      <c r="J24" s="14">
        <f>SUM(D24:H24)-I24</f>
        <v/>
      </c>
      <c r="K24" s="14">
        <f>K23+J24</f>
        <v/>
      </c>
      <c r="L24" s="14">
        <f>L23*(1+Assumptions!$B$7)</f>
        <v/>
      </c>
      <c r="M24" s="14">
        <f>K24-L24</f>
        <v/>
      </c>
    </row>
    <row r="25">
      <c r="A25" s="10" t="n">
        <v>20</v>
      </c>
      <c r="B25" s="4">
        <f>CHOOSE(MOD(A25-1,7)+1,"Mon","Tue","Wed","Thu","Fri","Sat","Sun")</f>
        <v/>
      </c>
      <c r="C25" s="4" t="n"/>
      <c r="D25" s="14" t="n">
        <v>0</v>
      </c>
      <c r="E25" s="14" t="n">
        <v>0</v>
      </c>
      <c r="F25" s="14" t="n">
        <v>0</v>
      </c>
      <c r="G25" s="14" t="n">
        <v>0</v>
      </c>
      <c r="H25" s="15">
        <f>(Assumptions!$B$9*Assumptions!$B$10*Assumptions!$B$11)-(Assumptions!$B$9*Assumptions!$B$12)</f>
        <v/>
      </c>
      <c r="I25" s="14" t="n">
        <v>0</v>
      </c>
      <c r="J25" s="14">
        <f>SUM(D25:H25)-I25</f>
        <v/>
      </c>
      <c r="K25" s="14">
        <f>K24+J25</f>
        <v/>
      </c>
      <c r="L25" s="14">
        <f>L24*(1+Assumptions!$B$7)</f>
        <v/>
      </c>
      <c r="M25" s="14">
        <f>K25-L25</f>
        <v/>
      </c>
    </row>
    <row r="26">
      <c r="A26" s="10" t="n">
        <v>21</v>
      </c>
      <c r="B26" s="4">
        <f>CHOOSE(MOD(A26-1,7)+1,"Mon","Tue","Wed","Thu","Fri","Sat","Sun")</f>
        <v/>
      </c>
      <c r="C26" s="4" t="n"/>
      <c r="D26" s="14" t="n">
        <v>0</v>
      </c>
      <c r="E26" s="14" t="n">
        <v>0</v>
      </c>
      <c r="F26" s="14" t="n">
        <v>0</v>
      </c>
      <c r="G26" s="14" t="n">
        <v>0</v>
      </c>
      <c r="H26" s="15">
        <f>(Assumptions!$B$9*Assumptions!$B$10*Assumptions!$B$11)-(Assumptions!$B$9*Assumptions!$B$12)</f>
        <v/>
      </c>
      <c r="I26" s="14" t="n">
        <v>0</v>
      </c>
      <c r="J26" s="14">
        <f>SUM(D26:H26)-I26</f>
        <v/>
      </c>
      <c r="K26" s="14">
        <f>K25+J26</f>
        <v/>
      </c>
      <c r="L26" s="14">
        <f>L25*(1+Assumptions!$B$7)</f>
        <v/>
      </c>
      <c r="M26" s="14">
        <f>K26-L26</f>
        <v/>
      </c>
    </row>
    <row r="27">
      <c r="A27" s="10" t="n">
        <v>22</v>
      </c>
      <c r="B27" s="4">
        <f>CHOOSE(MOD(A27-1,7)+1,"Mon","Tue","Wed","Thu","Fri","Sat","Sun")</f>
        <v/>
      </c>
      <c r="C27" s="4" t="inlineStr">
        <is>
          <t>Hay cut 3 — East</t>
        </is>
      </c>
      <c r="D27" s="15">
        <f>Assumptions!$G$17*Assumptions!$H$17</f>
        <v/>
      </c>
      <c r="E27" s="14" t="n">
        <v>0</v>
      </c>
      <c r="F27" s="14" t="n">
        <v>0</v>
      </c>
      <c r="G27" s="14" t="n">
        <v>0</v>
      </c>
      <c r="H27" s="15">
        <f>(Assumptions!$B$9*Assumptions!$B$10*Assumptions!$B$11)-(Assumptions!$B$9*Assumptions!$B$12)</f>
        <v/>
      </c>
      <c r="I27" s="15">
        <f>Assumptions!$E$17</f>
        <v/>
      </c>
      <c r="J27" s="14">
        <f>SUM(D27:H27)-I27</f>
        <v/>
      </c>
      <c r="K27" s="14">
        <f>K26+J27</f>
        <v/>
      </c>
      <c r="L27" s="14">
        <f>L26*(1+Assumptions!$B$7)</f>
        <v/>
      </c>
      <c r="M27" s="14">
        <f>K27-L27</f>
        <v/>
      </c>
    </row>
    <row r="28">
      <c r="A28" s="10" t="n">
        <v>23</v>
      </c>
      <c r="B28" s="4">
        <f>CHOOSE(MOD(A28-1,7)+1,"Mon","Tue","Wed","Thu","Fri","Sat","Sun")</f>
        <v/>
      </c>
      <c r="C28" s="4" t="n"/>
      <c r="D28" s="14" t="n">
        <v>0</v>
      </c>
      <c r="E28" s="14" t="n">
        <v>0</v>
      </c>
      <c r="F28" s="14" t="n">
        <v>0</v>
      </c>
      <c r="G28" s="14" t="n">
        <v>0</v>
      </c>
      <c r="H28" s="15">
        <f>(Assumptions!$B$9*Assumptions!$B$10*Assumptions!$B$11)-(Assumptions!$B$9*Assumptions!$B$12)</f>
        <v/>
      </c>
      <c r="I28" s="14" t="n">
        <v>0</v>
      </c>
      <c r="J28" s="14">
        <f>SUM(D28:H28)-I28</f>
        <v/>
      </c>
      <c r="K28" s="14">
        <f>K27+J28</f>
        <v/>
      </c>
      <c r="L28" s="14">
        <f>L27*(1+Assumptions!$B$7)</f>
        <v/>
      </c>
      <c r="M28" s="14">
        <f>K28-L28</f>
        <v/>
      </c>
    </row>
    <row r="29">
      <c r="A29" s="10" t="n">
        <v>24</v>
      </c>
      <c r="B29" s="4">
        <f>CHOOSE(MOD(A29-1,7)+1,"Mon","Tue","Wed","Thu","Fri","Sat","Sun")</f>
        <v/>
      </c>
      <c r="C29" s="4" t="inlineStr">
        <is>
          <t>Sell restored baler (flip complete)</t>
        </is>
      </c>
      <c r="D29" s="14" t="n">
        <v>0</v>
      </c>
      <c r="E29" s="14" t="n">
        <v>0</v>
      </c>
      <c r="F29" s="14" t="n">
        <v>0</v>
      </c>
      <c r="G29" s="15">
        <f>Assumptions!$B$31</f>
        <v/>
      </c>
      <c r="H29" s="15">
        <f>(Assumptions!$B$9*Assumptions!$B$10*Assumptions!$B$11)-(Assumptions!$B$9*Assumptions!$B$12)</f>
        <v/>
      </c>
      <c r="I29" s="15">
        <f>Assumptions!$B$8</f>
        <v/>
      </c>
      <c r="J29" s="14">
        <f>SUM(D29:H29)-I29</f>
        <v/>
      </c>
      <c r="K29" s="14">
        <f>K28+J29</f>
        <v/>
      </c>
      <c r="L29" s="14">
        <f>L28*(1+Assumptions!$B$7)</f>
        <v/>
      </c>
      <c r="M29" s="14">
        <f>K29-L29</f>
        <v/>
      </c>
    </row>
    <row r="30">
      <c r="A30" s="10" t="n">
        <v>25</v>
      </c>
      <c r="B30" s="4">
        <f>CHOOSE(MOD(A30-1,7)+1,"Mon","Tue","Wed","Thu","Fri","Sat","Sun")</f>
        <v/>
      </c>
      <c r="C30" s="4" t="n"/>
      <c r="D30" s="14" t="n">
        <v>0</v>
      </c>
      <c r="E30" s="14" t="n">
        <v>0</v>
      </c>
      <c r="F30" s="14" t="n">
        <v>0</v>
      </c>
      <c r="G30" s="14" t="n">
        <v>0</v>
      </c>
      <c r="H30" s="15">
        <f>(Assumptions!$B$9*Assumptions!$B$10*Assumptions!$B$11)-(Assumptions!$B$9*Assumptions!$B$12)</f>
        <v/>
      </c>
      <c r="I30" s="14" t="n">
        <v>0</v>
      </c>
      <c r="J30" s="14">
        <f>SUM(D30:H30)-I30</f>
        <v/>
      </c>
      <c r="K30" s="14">
        <f>K29+J30</f>
        <v/>
      </c>
      <c r="L30" s="14">
        <f>L29*(1+Assumptions!$B$7)</f>
        <v/>
      </c>
      <c r="M30" s="14">
        <f>K30-L30</f>
        <v/>
      </c>
    </row>
    <row r="31">
      <c r="A31" s="10" t="n">
        <v>26</v>
      </c>
      <c r="B31" s="4">
        <f>CHOOSE(MOD(A31-1,7)+1,"Mon","Tue","Wed","Thu","Fri","Sat","Sun")</f>
        <v/>
      </c>
      <c r="C31" s="4" t="n"/>
      <c r="D31" s="14" t="n">
        <v>0</v>
      </c>
      <c r="E31" s="14" t="n">
        <v>0</v>
      </c>
      <c r="F31" s="14" t="n">
        <v>0</v>
      </c>
      <c r="G31" s="14" t="n">
        <v>0</v>
      </c>
      <c r="H31" s="15">
        <f>(Assumptions!$B$9*Assumptions!$B$10*Assumptions!$B$11)-(Assumptions!$B$9*Assumptions!$B$12)</f>
        <v/>
      </c>
      <c r="I31" s="14" t="n">
        <v>0</v>
      </c>
      <c r="J31" s="14">
        <f>SUM(D31:H31)-I31</f>
        <v/>
      </c>
      <c r="K31" s="14">
        <f>K30+J31</f>
        <v/>
      </c>
      <c r="L31" s="14">
        <f>L30*(1+Assumptions!$B$7)</f>
        <v/>
      </c>
      <c r="M31" s="14">
        <f>K31-L31</f>
        <v/>
      </c>
    </row>
    <row r="32">
      <c r="A32" s="10" t="n">
        <v>27</v>
      </c>
      <c r="B32" s="4">
        <f>CHOOSE(MOD(A32-1,7)+1,"Mon","Tue","Wed","Thu","Fri","Sat","Sun")</f>
        <v/>
      </c>
      <c r="C32" s="4" t="n"/>
      <c r="D32" s="14" t="n">
        <v>0</v>
      </c>
      <c r="E32" s="14" t="n">
        <v>0</v>
      </c>
      <c r="F32" s="14" t="n">
        <v>0</v>
      </c>
      <c r="G32" s="14" t="n">
        <v>0</v>
      </c>
      <c r="H32" s="15">
        <f>(Assumptions!$B$9*Assumptions!$B$10*Assumptions!$B$11)-(Assumptions!$B$9*Assumptions!$B$12)</f>
        <v/>
      </c>
      <c r="I32" s="14" t="n">
        <v>0</v>
      </c>
      <c r="J32" s="14">
        <f>SUM(D32:H32)-I32</f>
        <v/>
      </c>
      <c r="K32" s="14">
        <f>K31+J32</f>
        <v/>
      </c>
      <c r="L32" s="14">
        <f>L31*(1+Assumptions!$B$7)</f>
        <v/>
      </c>
      <c r="M32" s="14">
        <f>K32-L32</f>
        <v/>
      </c>
    </row>
    <row r="33">
      <c r="A33" s="10" t="n">
        <v>28</v>
      </c>
      <c r="B33" s="4">
        <f>CHOOSE(MOD(A33-1,7)+1,"Mon","Tue","Wed","Thu","Fri","Sat","Sun")</f>
        <v/>
      </c>
      <c r="C33" s="4" t="n"/>
      <c r="D33" s="14" t="n">
        <v>0</v>
      </c>
      <c r="E33" s="14" t="n">
        <v>0</v>
      </c>
      <c r="F33" s="14" t="n">
        <v>0</v>
      </c>
      <c r="G33" s="14" t="n">
        <v>0</v>
      </c>
      <c r="H33" s="15">
        <f>(Assumptions!$B$9*Assumptions!$B$10*Assumptions!$B$11)-(Assumptions!$B$9*Assumptions!$B$12)</f>
        <v/>
      </c>
      <c r="I33" s="14" t="n">
        <v>0</v>
      </c>
      <c r="J33" s="14">
        <f>SUM(D33:H33)-I33</f>
        <v/>
      </c>
      <c r="K33" s="14">
        <f>K32+J33</f>
        <v/>
      </c>
      <c r="L33" s="14">
        <f>L32*(1+Assumptions!$B$7)</f>
        <v/>
      </c>
      <c r="M33" s="14">
        <f>K33-L33</f>
        <v/>
      </c>
    </row>
    <row r="34">
      <c r="A34" s="10" t="n">
        <v>29</v>
      </c>
      <c r="B34" s="4">
        <f>CHOOSE(MOD(A34-1,7)+1,"Mon","Tue","Wed","Thu","Fri","Sat","Sun")</f>
        <v/>
      </c>
      <c r="C34" s="4" t="n"/>
      <c r="D34" s="14" t="n">
        <v>0</v>
      </c>
      <c r="E34" s="14" t="n">
        <v>0</v>
      </c>
      <c r="F34" s="14" t="n">
        <v>0</v>
      </c>
      <c r="G34" s="14" t="n">
        <v>0</v>
      </c>
      <c r="H34" s="15">
        <f>(Assumptions!$B$9*Assumptions!$B$10*Assumptions!$B$11)-(Assumptions!$B$9*Assumptions!$B$12)</f>
        <v/>
      </c>
      <c r="I34" s="14" t="n">
        <v>0</v>
      </c>
      <c r="J34" s="14">
        <f>SUM(D34:H34)-I34</f>
        <v/>
      </c>
      <c r="K34" s="14">
        <f>K33+J34</f>
        <v/>
      </c>
      <c r="L34" s="14">
        <f>L33*(1+Assumptions!$B$7)</f>
        <v/>
      </c>
      <c r="M34" s="14">
        <f>K34-L34</f>
        <v/>
      </c>
    </row>
    <row r="35">
      <c r="A35" s="10" t="n">
        <v>30</v>
      </c>
      <c r="B35" s="4">
        <f>CHOOSE(MOD(A35-1,7)+1,"Mon","Tue","Wed","Thu","Fri","Sat","Sun")</f>
        <v/>
      </c>
      <c r="C35" s="4" t="n"/>
      <c r="D35" s="14" t="n">
        <v>0</v>
      </c>
      <c r="E35" s="14" t="n">
        <v>0</v>
      </c>
      <c r="F35" s="14" t="n">
        <v>0</v>
      </c>
      <c r="G35" s="14" t="n">
        <v>0</v>
      </c>
      <c r="H35" s="15">
        <f>(Assumptions!$B$9*Assumptions!$B$10*Assumptions!$B$11)-(Assumptions!$B$9*Assumptions!$B$12)</f>
        <v/>
      </c>
      <c r="I35" s="14" t="n">
        <v>0</v>
      </c>
      <c r="J35" s="14">
        <f>SUM(D35:H35)-I35</f>
        <v/>
      </c>
      <c r="K35" s="14">
        <f>K34+J35</f>
        <v/>
      </c>
      <c r="L35" s="14">
        <f>L34*(1+Assumptions!$B$7)</f>
        <v/>
      </c>
      <c r="M35" s="14">
        <f>K35-L35</f>
        <v/>
      </c>
    </row>
    <row r="37">
      <c r="A37" s="3" t="inlineStr">
        <is>
          <t>RUN SUMMARY</t>
        </is>
      </c>
    </row>
    <row r="38">
      <c r="A38" s="16" t="inlineStr">
        <is>
          <t>Total spot sales</t>
        </is>
      </c>
      <c r="B38" s="14">
        <f>SUM(D6:D35)</f>
        <v/>
      </c>
    </row>
    <row r="39">
      <c r="A39" s="16" t="inlineStr">
        <is>
          <t>Total negotiated (rep)</t>
        </is>
      </c>
      <c r="B39" s="14">
        <f>SUM(E6:E35)</f>
        <v/>
      </c>
    </row>
    <row r="40">
      <c r="A40" s="16" t="inlineStr">
        <is>
          <t>Total timed (info)</t>
        </is>
      </c>
      <c r="B40" s="14">
        <f>SUM(F6:F35)</f>
        <v/>
      </c>
    </row>
    <row r="41">
      <c r="A41" s="16" t="inlineStr">
        <is>
          <t>Total repair &amp; flip</t>
        </is>
      </c>
      <c r="B41" s="14">
        <f>SUM(G6:G35)</f>
        <v/>
      </c>
    </row>
    <row r="42">
      <c r="A42" s="16" t="inlineStr">
        <is>
          <t>Total eggs &amp; favors</t>
        </is>
      </c>
      <c r="B42" s="14">
        <f>SUM(H6:H35)</f>
        <v/>
      </c>
    </row>
    <row r="43">
      <c r="A43" s="16" t="inlineStr">
        <is>
          <t>Total costs</t>
        </is>
      </c>
      <c r="B43" s="14">
        <f>SUM(I6:I35)</f>
        <v/>
      </c>
    </row>
    <row r="44">
      <c r="A44" s="16" t="inlineStr">
        <is>
          <t>End cash</t>
        </is>
      </c>
      <c r="B44" s="14">
        <f>K35</f>
        <v/>
      </c>
    </row>
    <row r="45">
      <c r="A45" s="16" t="inlineStr">
        <is>
          <t>End debt</t>
        </is>
      </c>
      <c r="B45" s="14">
        <f>L35</f>
        <v/>
      </c>
    </row>
    <row r="46">
      <c r="A46" s="16" t="inlineStr">
        <is>
          <t>Net worth delta</t>
        </is>
      </c>
      <c r="B46" s="14">
        <f>M35-(Assumptions!$B$5-Assumptions!$B$6)</f>
        <v/>
      </c>
    </row>
    <row r="47">
      <c r="A47" s="16" t="inlineStr">
        <is>
          <t>Top income source</t>
        </is>
      </c>
      <c r="B47" s="4">
        <f>INDEX({"Spot sales";"Negotiated (rep)";"Timed (info)";"Repair &amp; flip";"Eggs &amp; favors"},MATCH(MAX(B38:B42),B38:B42,0))</f>
        <v/>
      </c>
    </row>
  </sheetData>
  <mergeCells count="1"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THREE PATHS, SAME 30 DAYS</t>
        </is>
      </c>
    </row>
    <row r="2">
      <c r="A2" s="2" t="inlineStr">
        <is>
          <t>Phase 0 exit criterion: every background solvent, every strategy distinct.</t>
        </is>
      </c>
    </row>
    <row r="4">
      <c r="B4" s="3" t="inlineStr">
        <is>
          <t>Old School</t>
        </is>
      </c>
      <c r="C4" s="3" t="inlineStr">
        <is>
          <t>IT Nephew</t>
        </is>
      </c>
      <c r="D4" s="3" t="inlineStr">
        <is>
          <t>Mechanic</t>
        </is>
      </c>
    </row>
    <row r="5">
      <c r="A5" s="16" t="inlineStr">
        <is>
          <t>End cash</t>
        </is>
      </c>
      <c r="B5" s="15">
        <f>'Old School'!B44</f>
        <v/>
      </c>
      <c r="C5" s="15">
        <f>'IT Nephew'!B44</f>
        <v/>
      </c>
      <c r="D5" s="15">
        <f>'Mechanic'!B44</f>
        <v/>
      </c>
    </row>
    <row r="6">
      <c r="A6" s="16" t="inlineStr">
        <is>
          <t>End debt</t>
        </is>
      </c>
      <c r="B6" s="15">
        <f>'Old School'!B45</f>
        <v/>
      </c>
      <c r="C6" s="15">
        <f>'IT Nephew'!B45</f>
        <v/>
      </c>
      <c r="D6" s="15">
        <f>'Mechanic'!B45</f>
        <v/>
      </c>
    </row>
    <row r="7">
      <c r="A7" s="16" t="inlineStr">
        <is>
          <t>Net worth delta</t>
        </is>
      </c>
      <c r="B7" s="15">
        <f>'Old School'!B46</f>
        <v/>
      </c>
      <c r="C7" s="15">
        <f>'IT Nephew'!B46</f>
        <v/>
      </c>
      <c r="D7" s="15">
        <f>'Mechanic'!B46</f>
        <v/>
      </c>
    </row>
    <row r="8">
      <c r="A8" s="16" t="inlineStr">
        <is>
          <t>Top income source</t>
        </is>
      </c>
      <c r="B8" s="17">
        <f>'Old School'!B47</f>
        <v/>
      </c>
      <c r="C8" s="17">
        <f>'IT Nephew'!B47</f>
        <v/>
      </c>
      <c r="D8" s="17">
        <f>'Mechanic'!B47</f>
        <v/>
      </c>
    </row>
    <row r="9">
      <c r="A9" s="16" t="inlineStr">
        <is>
          <t>Spot sales</t>
        </is>
      </c>
      <c r="B9" s="15">
        <f>'Old School'!B38</f>
        <v/>
      </c>
      <c r="C9" s="15">
        <f>'IT Nephew'!B38</f>
        <v/>
      </c>
      <c r="D9" s="15">
        <f>'Mechanic'!B38</f>
        <v/>
      </c>
    </row>
    <row r="10">
      <c r="A10" s="16" t="inlineStr">
        <is>
          <t>Negotiated (rep)</t>
        </is>
      </c>
      <c r="B10" s="15">
        <f>'Old School'!B39</f>
        <v/>
      </c>
      <c r="C10" s="15">
        <f>'IT Nephew'!B39</f>
        <v/>
      </c>
      <c r="D10" s="15">
        <f>'Mechanic'!B39</f>
        <v/>
      </c>
    </row>
    <row r="11">
      <c r="A11" s="16" t="inlineStr">
        <is>
          <t>Timed (info)</t>
        </is>
      </c>
      <c r="B11" s="15">
        <f>'Old School'!B40</f>
        <v/>
      </c>
      <c r="C11" s="15">
        <f>'IT Nephew'!B40</f>
        <v/>
      </c>
      <c r="D11" s="15">
        <f>'Mechanic'!B40</f>
        <v/>
      </c>
    </row>
    <row r="12">
      <c r="A12" s="16" t="inlineStr">
        <is>
          <t>Repair &amp; flip</t>
        </is>
      </c>
      <c r="B12" s="15">
        <f>'Old School'!B41</f>
        <v/>
      </c>
      <c r="C12" s="15">
        <f>'IT Nephew'!B41</f>
        <v/>
      </c>
      <c r="D12" s="15">
        <f>'Mechanic'!B41</f>
        <v/>
      </c>
    </row>
    <row r="13">
      <c r="A13" s="16" t="inlineStr">
        <is>
          <t>Eggs &amp; favors</t>
        </is>
      </c>
      <c r="B13" s="15">
        <f>'Old School'!B42</f>
        <v/>
      </c>
      <c r="C13" s="15">
        <f>'IT Nephew'!B42</f>
        <v/>
      </c>
      <c r="D13" s="15">
        <f>'Mechanic'!B42</f>
        <v/>
      </c>
    </row>
    <row r="16">
      <c r="A16" s="3" t="inlineStr">
        <is>
          <t>CHECKS</t>
        </is>
      </c>
    </row>
    <row r="17">
      <c r="A17" s="16" t="inlineStr">
        <is>
          <t>All solvent (end cash &gt; 0)?</t>
        </is>
      </c>
      <c r="B17" s="4">
        <f>IF(AND(B5&gt;0,C5&gt;0,D5&gt;0),"PASS","FAIL")</f>
        <v/>
      </c>
    </row>
    <row r="18">
      <c r="A18" s="16" t="inlineStr">
        <is>
          <t>All improved net worth?</t>
        </is>
      </c>
      <c r="B18" s="4">
        <f>IF(AND(B7&gt;0,C7&gt;0,D7&gt;0),"PASS","FAIL")</f>
        <v/>
      </c>
    </row>
    <row r="19">
      <c r="A19" s="16" t="inlineStr">
        <is>
          <t>Top income sources all different?</t>
        </is>
      </c>
      <c r="B19" s="4">
        <f>IF(AND(B8&lt;&gt;C8,B8&lt;&gt;D8,C8&lt;&gt;D8),"PASS","FAIL")</f>
        <v/>
      </c>
    </row>
    <row r="20">
      <c r="A20" s="16" t="inlineStr">
        <is>
          <t>Balance fairness (max/min end cash ≤ 1.25)?</t>
        </is>
      </c>
      <c r="B20" s="4">
        <f>IF(MAX(B5:D5)/MIN(B5:D5)&lt;=1.25,"PASS","FAIL")</f>
        <v/>
      </c>
    </row>
    <row r="23">
      <c r="A23" s="3" t="inlineStr">
        <is>
          <t>Daily cash curves</t>
        </is>
      </c>
    </row>
    <row r="24">
      <c r="A24" s="16" t="inlineStr">
        <is>
          <t>Day</t>
        </is>
      </c>
      <c r="B24" s="16" t="inlineStr">
        <is>
          <t>Old School</t>
        </is>
      </c>
      <c r="C24" s="16" t="inlineStr">
        <is>
          <t>IT Nephew</t>
        </is>
      </c>
      <c r="D24" s="16" t="inlineStr">
        <is>
          <t>Mechanic</t>
        </is>
      </c>
    </row>
    <row r="25">
      <c r="A25" s="10" t="n">
        <v>1</v>
      </c>
      <c r="B25" s="15">
        <f>'Old School'!K6</f>
        <v/>
      </c>
      <c r="C25" s="15">
        <f>'IT Nephew'!K6</f>
        <v/>
      </c>
      <c r="D25" s="15">
        <f>'Mechanic'!K6</f>
        <v/>
      </c>
    </row>
    <row r="26">
      <c r="A26" s="10" t="n">
        <v>2</v>
      </c>
      <c r="B26" s="15">
        <f>'Old School'!K7</f>
        <v/>
      </c>
      <c r="C26" s="15">
        <f>'IT Nephew'!K7</f>
        <v/>
      </c>
      <c r="D26" s="15">
        <f>'Mechanic'!K7</f>
        <v/>
      </c>
    </row>
    <row r="27">
      <c r="A27" s="10" t="n">
        <v>3</v>
      </c>
      <c r="B27" s="15">
        <f>'Old School'!K8</f>
        <v/>
      </c>
      <c r="C27" s="15">
        <f>'IT Nephew'!K8</f>
        <v/>
      </c>
      <c r="D27" s="15">
        <f>'Mechanic'!K8</f>
        <v/>
      </c>
    </row>
    <row r="28">
      <c r="A28" s="10" t="n">
        <v>4</v>
      </c>
      <c r="B28" s="15">
        <f>'Old School'!K9</f>
        <v/>
      </c>
      <c r="C28" s="15">
        <f>'IT Nephew'!K9</f>
        <v/>
      </c>
      <c r="D28" s="15">
        <f>'Mechanic'!K9</f>
        <v/>
      </c>
    </row>
    <row r="29">
      <c r="A29" s="10" t="n">
        <v>5</v>
      </c>
      <c r="B29" s="15">
        <f>'Old School'!K10</f>
        <v/>
      </c>
      <c r="C29" s="15">
        <f>'IT Nephew'!K10</f>
        <v/>
      </c>
      <c r="D29" s="15">
        <f>'Mechanic'!K10</f>
        <v/>
      </c>
    </row>
    <row r="30">
      <c r="A30" s="10" t="n">
        <v>6</v>
      </c>
      <c r="B30" s="15">
        <f>'Old School'!K11</f>
        <v/>
      </c>
      <c r="C30" s="15">
        <f>'IT Nephew'!K11</f>
        <v/>
      </c>
      <c r="D30" s="15">
        <f>'Mechanic'!K11</f>
        <v/>
      </c>
    </row>
    <row r="31">
      <c r="A31" s="10" t="n">
        <v>7</v>
      </c>
      <c r="B31" s="15">
        <f>'Old School'!K12</f>
        <v/>
      </c>
      <c r="C31" s="15">
        <f>'IT Nephew'!K12</f>
        <v/>
      </c>
      <c r="D31" s="15">
        <f>'Mechanic'!K12</f>
        <v/>
      </c>
    </row>
    <row r="32">
      <c r="A32" s="10" t="n">
        <v>8</v>
      </c>
      <c r="B32" s="15">
        <f>'Old School'!K13</f>
        <v/>
      </c>
      <c r="C32" s="15">
        <f>'IT Nephew'!K13</f>
        <v/>
      </c>
      <c r="D32" s="15">
        <f>'Mechanic'!K13</f>
        <v/>
      </c>
    </row>
    <row r="33">
      <c r="A33" s="10" t="n">
        <v>9</v>
      </c>
      <c r="B33" s="15">
        <f>'Old School'!K14</f>
        <v/>
      </c>
      <c r="C33" s="15">
        <f>'IT Nephew'!K14</f>
        <v/>
      </c>
      <c r="D33" s="15">
        <f>'Mechanic'!K14</f>
        <v/>
      </c>
    </row>
    <row r="34">
      <c r="A34" s="10" t="n">
        <v>10</v>
      </c>
      <c r="B34" s="15">
        <f>'Old School'!K15</f>
        <v/>
      </c>
      <c r="C34" s="15">
        <f>'IT Nephew'!K15</f>
        <v/>
      </c>
      <c r="D34" s="15">
        <f>'Mechanic'!K15</f>
        <v/>
      </c>
    </row>
    <row r="35">
      <c r="A35" s="10" t="n">
        <v>11</v>
      </c>
      <c r="B35" s="15">
        <f>'Old School'!K16</f>
        <v/>
      </c>
      <c r="C35" s="15">
        <f>'IT Nephew'!K16</f>
        <v/>
      </c>
      <c r="D35" s="15">
        <f>'Mechanic'!K16</f>
        <v/>
      </c>
    </row>
    <row r="36">
      <c r="A36" s="10" t="n">
        <v>12</v>
      </c>
      <c r="B36" s="15">
        <f>'Old School'!K17</f>
        <v/>
      </c>
      <c r="C36" s="15">
        <f>'IT Nephew'!K17</f>
        <v/>
      </c>
      <c r="D36" s="15">
        <f>'Mechanic'!K17</f>
        <v/>
      </c>
    </row>
    <row r="37">
      <c r="A37" s="10" t="n">
        <v>13</v>
      </c>
      <c r="B37" s="15">
        <f>'Old School'!K18</f>
        <v/>
      </c>
      <c r="C37" s="15">
        <f>'IT Nephew'!K18</f>
        <v/>
      </c>
      <c r="D37" s="15">
        <f>'Mechanic'!K18</f>
        <v/>
      </c>
    </row>
    <row r="38">
      <c r="A38" s="10" t="n">
        <v>14</v>
      </c>
      <c r="B38" s="15">
        <f>'Old School'!K19</f>
        <v/>
      </c>
      <c r="C38" s="15">
        <f>'IT Nephew'!K19</f>
        <v/>
      </c>
      <c r="D38" s="15">
        <f>'Mechanic'!K19</f>
        <v/>
      </c>
    </row>
    <row r="39">
      <c r="A39" s="10" t="n">
        <v>15</v>
      </c>
      <c r="B39" s="15">
        <f>'Old School'!K20</f>
        <v/>
      </c>
      <c r="C39" s="15">
        <f>'IT Nephew'!K20</f>
        <v/>
      </c>
      <c r="D39" s="15">
        <f>'Mechanic'!K20</f>
        <v/>
      </c>
    </row>
    <row r="40">
      <c r="A40" s="10" t="n">
        <v>16</v>
      </c>
      <c r="B40" s="15">
        <f>'Old School'!K21</f>
        <v/>
      </c>
      <c r="C40" s="15">
        <f>'IT Nephew'!K21</f>
        <v/>
      </c>
      <c r="D40" s="15">
        <f>'Mechanic'!K21</f>
        <v/>
      </c>
    </row>
    <row r="41">
      <c r="A41" s="10" t="n">
        <v>17</v>
      </c>
      <c r="B41" s="15">
        <f>'Old School'!K22</f>
        <v/>
      </c>
      <c r="C41" s="15">
        <f>'IT Nephew'!K22</f>
        <v/>
      </c>
      <c r="D41" s="15">
        <f>'Mechanic'!K22</f>
        <v/>
      </c>
    </row>
    <row r="42">
      <c r="A42" s="10" t="n">
        <v>18</v>
      </c>
      <c r="B42" s="15">
        <f>'Old School'!K23</f>
        <v/>
      </c>
      <c r="C42" s="15">
        <f>'IT Nephew'!K23</f>
        <v/>
      </c>
      <c r="D42" s="15">
        <f>'Mechanic'!K23</f>
        <v/>
      </c>
    </row>
    <row r="43">
      <c r="A43" s="10" t="n">
        <v>19</v>
      </c>
      <c r="B43" s="15">
        <f>'Old School'!K24</f>
        <v/>
      </c>
      <c r="C43" s="15">
        <f>'IT Nephew'!K24</f>
        <v/>
      </c>
      <c r="D43" s="15">
        <f>'Mechanic'!K24</f>
        <v/>
      </c>
    </row>
    <row r="44">
      <c r="A44" s="10" t="n">
        <v>20</v>
      </c>
      <c r="B44" s="15">
        <f>'Old School'!K25</f>
        <v/>
      </c>
      <c r="C44" s="15">
        <f>'IT Nephew'!K25</f>
        <v/>
      </c>
      <c r="D44" s="15">
        <f>'Mechanic'!K25</f>
        <v/>
      </c>
    </row>
    <row r="45">
      <c r="A45" s="10" t="n">
        <v>21</v>
      </c>
      <c r="B45" s="15">
        <f>'Old School'!K26</f>
        <v/>
      </c>
      <c r="C45" s="15">
        <f>'IT Nephew'!K26</f>
        <v/>
      </c>
      <c r="D45" s="15">
        <f>'Mechanic'!K26</f>
        <v/>
      </c>
    </row>
    <row r="46">
      <c r="A46" s="10" t="n">
        <v>22</v>
      </c>
      <c r="B46" s="15">
        <f>'Old School'!K27</f>
        <v/>
      </c>
      <c r="C46" s="15">
        <f>'IT Nephew'!K27</f>
        <v/>
      </c>
      <c r="D46" s="15">
        <f>'Mechanic'!K27</f>
        <v/>
      </c>
    </row>
    <row r="47">
      <c r="A47" s="10" t="n">
        <v>23</v>
      </c>
      <c r="B47" s="15">
        <f>'Old School'!K28</f>
        <v/>
      </c>
      <c r="C47" s="15">
        <f>'IT Nephew'!K28</f>
        <v/>
      </c>
      <c r="D47" s="15">
        <f>'Mechanic'!K28</f>
        <v/>
      </c>
    </row>
    <row r="48">
      <c r="A48" s="10" t="n">
        <v>24</v>
      </c>
      <c r="B48" s="15">
        <f>'Old School'!K29</f>
        <v/>
      </c>
      <c r="C48" s="15">
        <f>'IT Nephew'!K29</f>
        <v/>
      </c>
      <c r="D48" s="15">
        <f>'Mechanic'!K29</f>
        <v/>
      </c>
    </row>
    <row r="49">
      <c r="A49" s="10" t="n">
        <v>25</v>
      </c>
      <c r="B49" s="15">
        <f>'Old School'!K30</f>
        <v/>
      </c>
      <c r="C49" s="15">
        <f>'IT Nephew'!K30</f>
        <v/>
      </c>
      <c r="D49" s="15">
        <f>'Mechanic'!K30</f>
        <v/>
      </c>
    </row>
    <row r="50">
      <c r="A50" s="10" t="n">
        <v>26</v>
      </c>
      <c r="B50" s="15">
        <f>'Old School'!K31</f>
        <v/>
      </c>
      <c r="C50" s="15">
        <f>'IT Nephew'!K31</f>
        <v/>
      </c>
      <c r="D50" s="15">
        <f>'Mechanic'!K31</f>
        <v/>
      </c>
    </row>
    <row r="51">
      <c r="A51" s="10" t="n">
        <v>27</v>
      </c>
      <c r="B51" s="15">
        <f>'Old School'!K32</f>
        <v/>
      </c>
      <c r="C51" s="15">
        <f>'IT Nephew'!K32</f>
        <v/>
      </c>
      <c r="D51" s="15">
        <f>'Mechanic'!K32</f>
        <v/>
      </c>
    </row>
    <row r="52">
      <c r="A52" s="10" t="n">
        <v>28</v>
      </c>
      <c r="B52" s="15">
        <f>'Old School'!K33</f>
        <v/>
      </c>
      <c r="C52" s="15">
        <f>'IT Nephew'!K33</f>
        <v/>
      </c>
      <c r="D52" s="15">
        <f>'Mechanic'!K33</f>
        <v/>
      </c>
    </row>
    <row r="53">
      <c r="A53" s="10" t="n">
        <v>29</v>
      </c>
      <c r="B53" s="15">
        <f>'Old School'!K34</f>
        <v/>
      </c>
      <c r="C53" s="15">
        <f>'IT Nephew'!K34</f>
        <v/>
      </c>
      <c r="D53" s="15">
        <f>'Mechanic'!K34</f>
        <v/>
      </c>
    </row>
    <row r="54">
      <c r="A54" s="10" t="n">
        <v>30</v>
      </c>
      <c r="B54" s="15">
        <f>'Old School'!K35</f>
        <v/>
      </c>
      <c r="C54" s="15">
        <f>'IT Nephew'!K35</f>
        <v/>
      </c>
      <c r="D54" s="15">
        <f>'Mechanic'!K35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2026-07-03T05:16:59Z</dcterms:created>
  <dcterms:modified xmlns:dcterms="http://purl.org/dc/terms/" xmlns:xsi="http://www.w3.org/2001/XMLSchema-instance" xsi:type="dcterms:W3CDTF">2026-07-03T05:16:59Z</dcterms:modified>
</cp:coreProperties>
</file>